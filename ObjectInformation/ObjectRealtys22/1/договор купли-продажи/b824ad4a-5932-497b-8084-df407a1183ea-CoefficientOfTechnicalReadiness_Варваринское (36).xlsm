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BorusanUserProfile\Downloads\"/>
    </mc:Choice>
  </mc:AlternateContent>
  <bookViews>
    <workbookView xWindow="-90" yWindow="2340" windowWidth="9150" windowHeight="7275" tabRatio="424"/>
  </bookViews>
  <sheets>
    <sheet name="КТГ" sheetId="2" r:id="rId1"/>
    <sheet name="КТГ Рассшифровка" sheetId="43" r:id="rId2"/>
    <sheet name="Расчет стоимости" sheetId="21" state="hidden" r:id="rId3"/>
    <sheet name="Sheet3" sheetId="22" state="hidden" r:id="rId4"/>
    <sheet name="Sheet4" sheetId="31" state="hidden" r:id="rId5"/>
    <sheet name="Sheet5" sheetId="32" state="hidden" r:id="rId6"/>
    <sheet name="Лист1" sheetId="33" state="hidden" r:id="rId7"/>
    <sheet name="Лист2" sheetId="34" state="hidden" r:id="rId8"/>
    <sheet name="Лист3" sheetId="35" state="hidden" r:id="rId9"/>
    <sheet name="Лист4" sheetId="36" state="hidden" r:id="rId10"/>
    <sheet name="Лист5" sheetId="37" state="hidden" r:id="rId11"/>
    <sheet name="Лист6" sheetId="38" state="hidden" r:id="rId12"/>
    <sheet name="Лист7" sheetId="39" state="hidden" r:id="rId13"/>
    <sheet name="Лист8" sheetId="40" state="hidden" r:id="rId14"/>
    <sheet name="Лист9" sheetId="41" state="hidden" r:id="rId15"/>
  </sheets>
  <externalReferences>
    <externalReference r:id="rId16"/>
  </externalReferences>
  <definedNames>
    <definedName name="_xlnm._FilterDatabase" localSheetId="0" hidden="1">КТГ!#REF!</definedName>
    <definedName name="_xlnm._FilterDatabase" localSheetId="1" hidden="1">'КТГ Рассшифровка'!$B$2:$U$2</definedName>
    <definedName name="Motor_Hour">'[1]Operators&amp;Fuel'!$N$5</definedName>
    <definedName name="_xlnm.Print_Area" localSheetId="0">КТГ!$A$1:$C$7</definedName>
    <definedName name="_xlnm.Print_Area" localSheetId="2">'Расчет стоимости'!$A$1:$I$64</definedName>
  </definedNames>
  <calcPr calcId="152511"/>
</workbook>
</file>

<file path=xl/calcChain.xml><?xml version="1.0" encoding="utf-8"?>
<calcChain xmlns="http://schemas.openxmlformats.org/spreadsheetml/2006/main">
  <c r="E54" i="21" l="1"/>
  <c r="G54" i="21" s="1"/>
  <c r="G52" i="21"/>
  <c r="E52" i="21"/>
  <c r="G51" i="21"/>
  <c r="E51" i="21"/>
  <c r="C51" i="21"/>
  <c r="E50" i="21"/>
  <c r="G50" i="21" s="1"/>
  <c r="C50" i="21"/>
  <c r="G49" i="21"/>
  <c r="G53" i="21" s="1"/>
  <c r="E49" i="21"/>
  <c r="E48" i="21"/>
  <c r="G47" i="21"/>
  <c r="E47" i="21"/>
  <c r="C47" i="21"/>
  <c r="E46" i="21"/>
  <c r="G46" i="21" s="1"/>
  <c r="C46" i="21"/>
  <c r="G45" i="21"/>
  <c r="E45" i="21"/>
  <c r="C45" i="21"/>
  <c r="E44" i="21"/>
  <c r="G44" i="21" s="1"/>
  <c r="G48" i="21" s="1"/>
  <c r="C44" i="21"/>
  <c r="E43" i="21"/>
  <c r="G42" i="21"/>
  <c r="E42" i="21"/>
  <c r="G41" i="21"/>
  <c r="E41" i="21"/>
  <c r="C41" i="21"/>
  <c r="E40" i="21"/>
  <c r="G40" i="21" s="1"/>
  <c r="C40" i="21"/>
  <c r="G39" i="21"/>
  <c r="G43" i="21" s="1"/>
  <c r="E39" i="21"/>
  <c r="C39" i="21"/>
  <c r="E38" i="21"/>
  <c r="E37" i="21"/>
  <c r="G37" i="21" s="1"/>
  <c r="E36" i="21"/>
  <c r="G36" i="21" s="1"/>
  <c r="C36" i="21"/>
  <c r="G35" i="21"/>
  <c r="E35" i="21"/>
  <c r="C35" i="21"/>
  <c r="E34" i="21"/>
  <c r="G34" i="21" s="1"/>
  <c r="G38" i="21" s="1"/>
  <c r="C34" i="21"/>
  <c r="E33" i="21"/>
  <c r="G32" i="21"/>
  <c r="E32" i="21"/>
  <c r="G31" i="21"/>
  <c r="E31" i="21"/>
  <c r="G30" i="21"/>
  <c r="E30" i="21"/>
  <c r="G29" i="21"/>
  <c r="E29" i="21"/>
  <c r="C29" i="21"/>
  <c r="E28" i="21"/>
  <c r="G28" i="21" s="1"/>
  <c r="C28" i="21"/>
  <c r="G27" i="21"/>
  <c r="E27" i="21"/>
  <c r="C27" i="21"/>
  <c r="E26" i="21"/>
  <c r="G26" i="21" s="1"/>
  <c r="C26" i="21"/>
  <c r="G25" i="21"/>
  <c r="E25" i="21"/>
  <c r="C25" i="21"/>
  <c r="E24" i="21"/>
  <c r="G24" i="21" s="1"/>
  <c r="C24" i="21"/>
  <c r="G23" i="21"/>
  <c r="E23" i="21"/>
  <c r="C23" i="21"/>
  <c r="E22" i="21"/>
  <c r="G22" i="21" s="1"/>
  <c r="C22" i="21"/>
  <c r="G21" i="21"/>
  <c r="E21" i="21"/>
  <c r="C21" i="21"/>
  <c r="E20" i="21"/>
  <c r="G20" i="21" s="1"/>
  <c r="C20" i="21"/>
  <c r="G19" i="21"/>
  <c r="E19" i="21"/>
  <c r="C19" i="21"/>
  <c r="E18" i="21"/>
  <c r="G18" i="21" s="1"/>
  <c r="C18" i="21"/>
  <c r="G17" i="21"/>
  <c r="E17" i="21"/>
  <c r="C17" i="21"/>
  <c r="E16" i="21"/>
  <c r="G16" i="21" s="1"/>
  <c r="C16" i="21"/>
  <c r="G15" i="21"/>
  <c r="E15" i="21"/>
  <c r="C15" i="21"/>
  <c r="E14" i="21"/>
  <c r="G14" i="21" s="1"/>
  <c r="C14" i="21"/>
  <c r="G13" i="21"/>
  <c r="E13" i="21"/>
  <c r="C13" i="21"/>
  <c r="E12" i="21"/>
  <c r="G12" i="21" s="1"/>
  <c r="C12" i="21"/>
  <c r="G11" i="21"/>
  <c r="E11" i="21"/>
  <c r="C11" i="21"/>
  <c r="E10" i="21"/>
  <c r="G10" i="21" s="1"/>
  <c r="C10" i="21"/>
  <c r="G9" i="21"/>
  <c r="E9" i="21"/>
  <c r="C9" i="21"/>
  <c r="E8" i="21"/>
  <c r="G8" i="21" s="1"/>
  <c r="C8" i="21"/>
  <c r="G7" i="21"/>
  <c r="E7" i="21"/>
  <c r="C7" i="21"/>
  <c r="E6" i="21"/>
  <c r="G6" i="21" s="1"/>
  <c r="C6" i="21"/>
  <c r="G5" i="21"/>
  <c r="E5" i="21"/>
  <c r="C5" i="21"/>
  <c r="E4" i="21"/>
  <c r="G4" i="21" s="1"/>
  <c r="G33" i="21" s="1"/>
  <c r="G60" i="21" s="1"/>
  <c r="C4" i="21"/>
  <c r="V35" i="2"/>
  <c r="S35" i="2"/>
  <c r="R34" i="2"/>
  <c r="Q34" i="2"/>
  <c r="P34" i="2"/>
  <c r="O34" i="2"/>
  <c r="N34" i="2"/>
  <c r="M34" i="2"/>
  <c r="L34" i="2"/>
  <c r="K34" i="2"/>
  <c r="J34" i="2"/>
  <c r="I34" i="2"/>
  <c r="H34" i="2"/>
  <c r="G34" i="2"/>
  <c r="F34" i="2"/>
  <c r="E34" i="2"/>
  <c r="D34" i="2"/>
  <c r="C34" i="2"/>
  <c r="V33" i="2"/>
  <c r="T33" i="2"/>
  <c r="S33" i="2"/>
  <c r="R33" i="2"/>
  <c r="V32" i="2"/>
  <c r="T32" i="2"/>
  <c r="S32" i="2"/>
  <c r="R32" i="2"/>
  <c r="V31" i="2"/>
  <c r="T31" i="2"/>
  <c r="S31" i="2"/>
  <c r="R31" i="2"/>
  <c r="V30" i="2"/>
  <c r="T30" i="2"/>
  <c r="S30" i="2"/>
  <c r="R30" i="2"/>
  <c r="V29" i="2"/>
  <c r="T29" i="2"/>
  <c r="S29" i="2"/>
  <c r="R29" i="2"/>
  <c r="V28" i="2"/>
  <c r="T28" i="2"/>
  <c r="S28" i="2"/>
  <c r="R28" i="2"/>
  <c r="V27" i="2"/>
  <c r="T27" i="2"/>
  <c r="T34" i="2" s="1"/>
  <c r="S27" i="2"/>
  <c r="R27" i="2"/>
  <c r="Q26" i="2"/>
  <c r="Q35" i="2" s="1"/>
  <c r="P26" i="2"/>
  <c r="O26" i="2"/>
  <c r="O35" i="2" s="1"/>
  <c r="N26" i="2"/>
  <c r="M26" i="2"/>
  <c r="M35" i="2" s="1"/>
  <c r="L26" i="2"/>
  <c r="K26" i="2"/>
  <c r="K35" i="2" s="1"/>
  <c r="J26" i="2"/>
  <c r="I26" i="2"/>
  <c r="I35" i="2" s="1"/>
  <c r="H26" i="2"/>
  <c r="G26" i="2"/>
  <c r="G35" i="2" s="1"/>
  <c r="F26" i="2"/>
  <c r="E26" i="2"/>
  <c r="E35" i="2" s="1"/>
  <c r="D26" i="2"/>
  <c r="C26" i="2"/>
  <c r="C35" i="2" s="1"/>
  <c r="V25" i="2"/>
  <c r="T25" i="2"/>
  <c r="S25" i="2"/>
  <c r="R25" i="2"/>
  <c r="V24" i="2"/>
  <c r="T24" i="2"/>
  <c r="S24" i="2"/>
  <c r="R24" i="2"/>
  <c r="V23" i="2"/>
  <c r="T23" i="2"/>
  <c r="S23" i="2"/>
  <c r="R23" i="2"/>
  <c r="V22" i="2"/>
  <c r="T22" i="2"/>
  <c r="S22" i="2"/>
  <c r="R22" i="2"/>
  <c r="V21" i="2"/>
  <c r="T21" i="2"/>
  <c r="T26" i="2" s="1"/>
  <c r="S21" i="2"/>
  <c r="R21" i="2"/>
  <c r="R26" i="2" s="1"/>
  <c r="R20" i="2"/>
  <c r="Q20" i="2"/>
  <c r="P20" i="2"/>
  <c r="P35" i="2" s="1"/>
  <c r="O20" i="2"/>
  <c r="N20" i="2"/>
  <c r="N35" i="2" s="1"/>
  <c r="M20" i="2"/>
  <c r="L20" i="2"/>
  <c r="L35" i="2" s="1"/>
  <c r="K20" i="2"/>
  <c r="J20" i="2"/>
  <c r="J35" i="2" s="1"/>
  <c r="I20" i="2"/>
  <c r="H20" i="2"/>
  <c r="H35" i="2" s="1"/>
  <c r="G20" i="2"/>
  <c r="F20" i="2"/>
  <c r="F35" i="2" s="1"/>
  <c r="E20" i="2"/>
  <c r="D20" i="2"/>
  <c r="D35" i="2" s="1"/>
  <c r="C20" i="2"/>
  <c r="V19" i="2"/>
  <c r="T19" i="2"/>
  <c r="S19" i="2"/>
  <c r="R19" i="2"/>
  <c r="V18" i="2"/>
  <c r="T18" i="2"/>
  <c r="S18" i="2"/>
  <c r="R18" i="2"/>
  <c r="V17" i="2"/>
  <c r="T17" i="2"/>
  <c r="S17" i="2"/>
  <c r="R17" i="2"/>
  <c r="V16" i="2"/>
  <c r="T16" i="2"/>
  <c r="S16" i="2"/>
  <c r="R16" i="2"/>
  <c r="V15" i="2"/>
  <c r="T15" i="2"/>
  <c r="S15" i="2"/>
  <c r="R15" i="2"/>
  <c r="V14" i="2"/>
  <c r="T14" i="2"/>
  <c r="S14" i="2"/>
  <c r="R14" i="2"/>
  <c r="V13" i="2"/>
  <c r="T13" i="2"/>
  <c r="S13" i="2"/>
  <c r="R13" i="2"/>
  <c r="V12" i="2"/>
  <c r="T12" i="2"/>
  <c r="S12" i="2"/>
  <c r="R12" i="2"/>
  <c r="V11" i="2"/>
  <c r="T11" i="2"/>
  <c r="S11" i="2"/>
  <c r="R11" i="2"/>
  <c r="V10" i="2"/>
  <c r="T10" i="2"/>
  <c r="S10" i="2"/>
  <c r="R10" i="2"/>
  <c r="V9" i="2"/>
  <c r="T9" i="2"/>
  <c r="S9" i="2"/>
  <c r="R9" i="2"/>
  <c r="V8" i="2"/>
  <c r="T8" i="2"/>
  <c r="S8" i="2"/>
  <c r="R8" i="2"/>
  <c r="V7" i="2"/>
  <c r="T7" i="2"/>
  <c r="T20" i="2" s="1"/>
  <c r="T35" i="2" s="1"/>
  <c r="S7" i="2"/>
  <c r="R7" i="2"/>
  <c r="R35" i="2" l="1"/>
</calcChain>
</file>

<file path=xl/comments1.xml><?xml version="1.0" encoding="utf-8"?>
<comments xmlns="http://schemas.openxmlformats.org/spreadsheetml/2006/main">
  <authors>
    <author>Windows User</author>
  </authors>
  <commentList>
    <comment ref="C3" authorId="0" shapeId="0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наработка моточасов за месец</t>
        </r>
      </text>
    </comment>
  </commentList>
</comments>
</file>

<file path=xl/comments2.xml><?xml version="1.0" encoding="utf-8"?>
<comments xmlns="http://schemas.openxmlformats.org/spreadsheetml/2006/main">
  <authors>
    <author>Windows User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O2" authorId="0" shapeId="0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часы простоя</t>
        </r>
      </text>
    </comment>
    <comment ref="R2" authorId="0" shapeId="0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кол-во остановов машины в месяц по каждой причине 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вид работы</t>
        </r>
      </text>
    </comment>
    <comment ref="U2" authorId="0" shapeId="0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SMCS код компонента с описанием</t>
        </r>
      </text>
    </comment>
  </commentList>
</comments>
</file>

<file path=xl/sharedStrings.xml><?xml version="1.0" encoding="utf-8"?>
<sst xmlns="http://schemas.openxmlformats.org/spreadsheetml/2006/main" count="189" uniqueCount="120">
  <si>
    <t>Отчёт по технической готовности техники проекта Варваринское с 14.09.18 по 21.09.18</t>
  </si>
  <si>
    <t>Кален.часы:</t>
  </si>
  <si>
    <t>Борт. №</t>
  </si>
  <si>
    <t>Модель</t>
  </si>
  <si>
    <t>Наработка моточасов</t>
  </si>
  <si>
    <t>Простои  БМК</t>
  </si>
  <si>
    <t>Простои Заказчика</t>
  </si>
  <si>
    <t>Общий простой БМК</t>
  </si>
  <si>
    <t>Общий пр Варваринское</t>
  </si>
  <si>
    <t>БМК готовность %</t>
  </si>
  <si>
    <t>План по контракту %</t>
  </si>
  <si>
    <t>Физичекая готовность</t>
  </si>
  <si>
    <t>Внеплановые</t>
  </si>
  <si>
    <t>Плановые и эксплуатационные</t>
  </si>
  <si>
    <t>БМК АВАРИЙН</t>
  </si>
  <si>
    <t>БМК ОТС З/Ч</t>
  </si>
  <si>
    <t>БМК ПЛ/РЕМ</t>
  </si>
  <si>
    <t>БМК ТО</t>
  </si>
  <si>
    <t>ЗАКАЗ РЕМОНТЫ</t>
  </si>
  <si>
    <t>ЗАКАЗ З/ЧАСТ</t>
  </si>
  <si>
    <t>ЗАКАЗ К/РЕМ</t>
  </si>
  <si>
    <t>ЗАКАЗ МОЙКА</t>
  </si>
  <si>
    <t>ЗАКАЗ ОПЕР</t>
  </si>
  <si>
    <t>ЗАКАЗ ПРОЧ</t>
  </si>
  <si>
    <t>ЗАКАЗ СВАРКА</t>
  </si>
  <si>
    <t>ЗАКАЗ ШИНЫ</t>
  </si>
  <si>
    <t>Время простоя до ремонта</t>
  </si>
  <si>
    <t>Время простоя после ремонта</t>
  </si>
  <si>
    <t>103</t>
  </si>
  <si>
    <t>777D</t>
  </si>
  <si>
    <t>88</t>
  </si>
  <si>
    <t>104</t>
  </si>
  <si>
    <t>105</t>
  </si>
  <si>
    <t>106</t>
  </si>
  <si>
    <t>107</t>
  </si>
  <si>
    <t>108</t>
  </si>
  <si>
    <t>109</t>
  </si>
  <si>
    <t>110</t>
  </si>
  <si>
    <t>777F</t>
  </si>
  <si>
    <t>111</t>
  </si>
  <si>
    <t>112</t>
  </si>
  <si>
    <t>113</t>
  </si>
  <si>
    <t>122</t>
  </si>
  <si>
    <t>123</t>
  </si>
  <si>
    <t>Общее по 1-ая группа</t>
  </si>
  <si>
    <t>402</t>
  </si>
  <si>
    <t>992K</t>
  </si>
  <si>
    <t>87</t>
  </si>
  <si>
    <t>403</t>
  </si>
  <si>
    <t>041</t>
  </si>
  <si>
    <t>966G</t>
  </si>
  <si>
    <t>042</t>
  </si>
  <si>
    <t>966H</t>
  </si>
  <si>
    <t>043</t>
  </si>
  <si>
    <t>Общее по 2-ая группа</t>
  </si>
  <si>
    <t>601</t>
  </si>
  <si>
    <t>D9R</t>
  </si>
  <si>
    <t>85</t>
  </si>
  <si>
    <t>603</t>
  </si>
  <si>
    <t>605</t>
  </si>
  <si>
    <t>606</t>
  </si>
  <si>
    <t>701</t>
  </si>
  <si>
    <t>834H</t>
  </si>
  <si>
    <t>801</t>
  </si>
  <si>
    <t>16H</t>
  </si>
  <si>
    <t>803</t>
  </si>
  <si>
    <t>16M</t>
  </si>
  <si>
    <t>Общее по 3-я группа</t>
  </si>
  <si>
    <t>Общий по парку</t>
  </si>
  <si>
    <t/>
  </si>
  <si>
    <t>Справка по моточасам в период с 01.03.12 по 31.03.12</t>
  </si>
  <si>
    <t>Номер</t>
  </si>
  <si>
    <t>М/Ч 01.01.12</t>
  </si>
  <si>
    <t>м/ч на 00.Ч</t>
  </si>
  <si>
    <t>М/ч на 23.01.12</t>
  </si>
  <si>
    <t>Наработк</t>
  </si>
  <si>
    <t>Цена м/ч</t>
  </si>
  <si>
    <t>Стоимость</t>
  </si>
  <si>
    <t>ИТОГО</t>
  </si>
  <si>
    <t>Общая стоимость</t>
  </si>
  <si>
    <t>Аналитик БМК  Фахрутдинов А Р</t>
  </si>
  <si>
    <t>Планировщик Altyntau Шикатаев К.Е.</t>
  </si>
  <si>
    <t>Старший горный диспетчер  Нуртаев А А</t>
  </si>
  <si>
    <t>Моодель</t>
  </si>
  <si>
    <t>Бортовой номер</t>
  </si>
  <si>
    <t>Мото-часы</t>
  </si>
  <si>
    <t>Дата останова</t>
  </si>
  <si>
    <t>Время останова</t>
  </si>
  <si>
    <t>Дата начала ремонта</t>
  </si>
  <si>
    <t>Время начала ремонта</t>
  </si>
  <si>
    <t>Дата окончания ремонта</t>
  </si>
  <si>
    <t>Время окончания работ</t>
  </si>
  <si>
    <t>Дата окончания останова</t>
  </si>
  <si>
    <t>Время окончания останова</t>
  </si>
  <si>
    <t>Причина простоя</t>
  </si>
  <si>
    <t>Описание</t>
  </si>
  <si>
    <t>Время ремонтного простоя</t>
  </si>
  <si>
    <t>Остановки</t>
  </si>
  <si>
    <t>Тип Ремонта</t>
  </si>
  <si>
    <t>Компонент</t>
  </si>
  <si>
    <t>19.09.2018</t>
  </si>
  <si>
    <t>02:20:00</t>
  </si>
  <si>
    <t>06:30:00</t>
  </si>
  <si>
    <t>18:35:00</t>
  </si>
  <si>
    <t>20.09.2018</t>
  </si>
  <si>
    <t>07:15:00</t>
  </si>
  <si>
    <t>dfghjk</t>
  </si>
  <si>
    <t>1</t>
  </si>
  <si>
    <t>0000 ((BLANK))</t>
  </si>
  <si>
    <t>16.09.2018</t>
  </si>
  <si>
    <t>07:20:00</t>
  </si>
  <si>
    <t>07:30:00</t>
  </si>
  <si>
    <t>17.09.2018</t>
  </si>
  <si>
    <t>18:30:00</t>
  </si>
  <si>
    <t>qw</t>
  </si>
  <si>
    <t>17:30:00</t>
  </si>
  <si>
    <t>18.09.2018</t>
  </si>
  <si>
    <t>02:30:00</t>
  </si>
  <si>
    <t>dvbnn</t>
  </si>
  <si>
    <t>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</si>
</sst>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#0.00%"/>
    <numFmt numFmtId="166" formatCode="dd\.mm\.yyyy"/>
  </numFmts>
  <fonts count="22" x14ac:knownFonts="1">
    <font>
      <sz val="10"/>
      <name val="Arial"/>
    </font>
    <font>
      <sz val="8"/>
      <name val="Arial"/>
      <family val="2"/>
    </font>
    <font>
      <sz val="10"/>
      <name val="Tahoma"/>
      <family val="2"/>
    </font>
    <font>
      <b/>
      <sz val="8"/>
      <name val="Tahoma"/>
      <family val="2"/>
    </font>
    <font>
      <sz val="18"/>
      <name val="Tahoma"/>
      <family val="2"/>
    </font>
    <font>
      <sz val="14"/>
      <name val="Tahoma"/>
      <family val="2"/>
    </font>
    <font>
      <sz val="10"/>
      <name val="Arial"/>
      <family val="2"/>
    </font>
    <font>
      <sz val="16"/>
      <name val="Tahoma"/>
      <family val="2"/>
    </font>
    <font>
      <sz val="10"/>
      <color rgb="FFFF0000"/>
      <name val="Arial"/>
      <family val="2"/>
    </font>
    <font>
      <sz val="10"/>
      <color theme="1"/>
      <name val="Arial"/>
      <family val="2"/>
    </font>
    <font>
      <sz val="10"/>
      <name val="Times New Roman"/>
      <family val="1"/>
    </font>
    <font>
      <b/>
      <sz val="10"/>
      <name val="Times New Roman"/>
      <family val="1"/>
    </font>
    <font>
      <sz val="16"/>
      <color theme="0"/>
      <name val="Tahoma"/>
      <family val="2"/>
    </font>
    <font>
      <b/>
      <sz val="8"/>
      <color theme="0"/>
      <name val="Tahoma"/>
      <family val="2"/>
    </font>
    <font>
      <sz val="8"/>
      <color theme="0" tint="-0.14999847407452621"/>
      <name val="Arial"/>
      <family val="2"/>
    </font>
    <font>
      <b/>
      <sz val="12"/>
      <name val="Tahoma"/>
      <family val="2"/>
    </font>
    <font>
      <b/>
      <sz val="10"/>
      <name val="Arial"/>
      <family val="2"/>
      <charset val="204"/>
    </font>
    <font>
      <i/>
      <sz val="10"/>
      <name val="Arial"/>
      <family val="2"/>
      <charset val="204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6A4E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6C9DF"/>
      </patternFill>
    </fill>
    <fill>
      <patternFill patternType="solid">
        <fgColor rgb="FFFF0000"/>
      </patternFill>
    </fill>
    <fill>
      <patternFill patternType="solid">
        <fgColor rgb="FFB6C9DF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8" fillId="0" borderId="0"/>
  </cellStyleXfs>
  <cellXfs count="75">
    <xf numFmtId="0" fontId="6" fillId="0" borderId="0" xfId="0" applyNumberFormat="1" applyFont="1" applyFill="1" applyBorder="1"/>
    <xf numFmtId="0" fontId="0" fillId="0" borderId="0" xfId="0" applyNumberFormat="1" applyFont="1" applyFill="1" applyBorder="1"/>
    <xf numFmtId="0" fontId="3" fillId="2" borderId="1" xfId="0" applyNumberFormat="1" applyFont="1" applyFill="1" applyBorder="1" applyAlignment="1">
      <alignment horizontal="center"/>
    </xf>
    <xf numFmtId="0" fontId="3" fillId="2" borderId="3" xfId="0" applyNumberFormat="1" applyFont="1" applyFill="1" applyBorder="1" applyAlignment="1">
      <alignment horizontal="center"/>
    </xf>
    <xf numFmtId="0" fontId="3" fillId="3" borderId="3" xfId="0" applyNumberFormat="1" applyFont="1" applyFill="1" applyBorder="1" applyAlignment="1">
      <alignment horizontal="center"/>
    </xf>
    <xf numFmtId="0" fontId="3" fillId="4" borderId="3" xfId="0" applyNumberFormat="1" applyFont="1" applyFill="1" applyBorder="1" applyAlignment="1">
      <alignment horizontal="center"/>
    </xf>
    <xf numFmtId="0" fontId="3" fillId="5" borderId="6" xfId="0" applyNumberFormat="1" applyFont="1" applyFill="1" applyBorder="1" applyAlignment="1">
      <alignment horizontal="center"/>
    </xf>
    <xf numFmtId="0" fontId="3" fillId="5" borderId="3" xfId="0" applyNumberFormat="1" applyFont="1" applyFill="1" applyBorder="1" applyAlignment="1">
      <alignment horizontal="center"/>
    </xf>
    <xf numFmtId="0" fontId="3" fillId="5" borderId="5" xfId="0" applyNumberFormat="1" applyFont="1" applyFill="1" applyBorder="1" applyAlignment="1">
      <alignment horizontal="center"/>
    </xf>
    <xf numFmtId="0" fontId="4" fillId="0" borderId="0" xfId="0" applyNumberFormat="1" applyFont="1" applyFill="1" applyBorder="1" applyAlignment="1">
      <alignment horizontal="center"/>
    </xf>
    <xf numFmtId="0" fontId="2" fillId="0" borderId="0" xfId="0" applyNumberFormat="1" applyFont="1" applyFill="1" applyBorder="1"/>
    <xf numFmtId="0" fontId="0" fillId="0" borderId="4" xfId="0" applyNumberFormat="1" applyFont="1" applyFill="1" applyBorder="1"/>
    <xf numFmtId="0" fontId="3" fillId="3" borderId="1" xfId="0" applyNumberFormat="1" applyFont="1" applyFill="1" applyBorder="1" applyAlignment="1">
      <alignment horizontal="center"/>
    </xf>
    <xf numFmtId="0" fontId="3" fillId="5" borderId="2" xfId="0" applyNumberFormat="1" applyFont="1" applyFill="1" applyBorder="1" applyAlignment="1">
      <alignment horizontal="center"/>
    </xf>
    <xf numFmtId="0" fontId="6" fillId="0" borderId="4" xfId="0" applyNumberFormat="1" applyFont="1" applyFill="1" applyBorder="1"/>
    <xf numFmtId="164" fontId="3" fillId="5" borderId="8" xfId="0" applyNumberFormat="1" applyFont="1" applyFill="1" applyBorder="1" applyAlignment="1">
      <alignment horizontal="right"/>
    </xf>
    <xf numFmtId="2" fontId="0" fillId="0" borderId="4" xfId="0" applyNumberFormat="1" applyFont="1" applyFill="1" applyBorder="1"/>
    <xf numFmtId="2" fontId="8" fillId="0" borderId="4" xfId="0" applyNumberFormat="1" applyFont="1" applyFill="1" applyBorder="1"/>
    <xf numFmtId="0" fontId="9" fillId="0" borderId="0" xfId="0" applyNumberFormat="1" applyFont="1" applyFill="1" applyBorder="1"/>
    <xf numFmtId="0" fontId="6" fillId="0" borderId="0" xfId="0" applyNumberFormat="1" applyFont="1" applyFill="1" applyBorder="1"/>
    <xf numFmtId="0" fontId="3" fillId="4" borderId="2" xfId="0" applyNumberFormat="1" applyFont="1" applyFill="1" applyBorder="1" applyAlignment="1">
      <alignment horizontal="center"/>
    </xf>
    <xf numFmtId="0" fontId="1" fillId="0" borderId="4" xfId="0" applyNumberFormat="1" applyFont="1" applyFill="1" applyBorder="1"/>
    <xf numFmtId="0" fontId="6" fillId="0" borderId="3" xfId="0" applyNumberFormat="1" applyFont="1" applyFill="1" applyBorder="1"/>
    <xf numFmtId="0" fontId="0" fillId="0" borderId="9" xfId="0" applyNumberFormat="1" applyFont="1" applyFill="1" applyBorder="1"/>
    <xf numFmtId="0" fontId="0" fillId="0" borderId="3" xfId="0" applyNumberFormat="1" applyFont="1" applyFill="1" applyBorder="1"/>
    <xf numFmtId="0" fontId="0" fillId="0" borderId="13" xfId="0" applyNumberFormat="1" applyFont="1" applyFill="1" applyBorder="1"/>
    <xf numFmtId="0" fontId="0" fillId="0" borderId="7" xfId="0" applyNumberFormat="1" applyFont="1" applyFill="1" applyBorder="1"/>
    <xf numFmtId="0" fontId="6" fillId="0" borderId="7" xfId="0" applyNumberFormat="1" applyFont="1" applyFill="1" applyBorder="1"/>
    <xf numFmtId="2" fontId="8" fillId="0" borderId="7" xfId="0" applyNumberFormat="1" applyFont="1" applyFill="1" applyBorder="1"/>
    <xf numFmtId="0" fontId="0" fillId="0" borderId="17" xfId="0" applyNumberFormat="1" applyFont="1" applyFill="1" applyBorder="1"/>
    <xf numFmtId="0" fontId="0" fillId="0" borderId="0" xfId="0" applyNumberFormat="1" applyFont="1" applyFill="1" applyBorder="1"/>
    <xf numFmtId="0" fontId="10" fillId="7" borderId="4" xfId="0" applyNumberFormat="1" applyFont="1" applyFill="1" applyBorder="1" applyAlignment="1">
      <alignment horizontal="right" wrapText="1"/>
    </xf>
    <xf numFmtId="0" fontId="10" fillId="8" borderId="4" xfId="0" applyNumberFormat="1" applyFont="1" applyFill="1" applyBorder="1" applyAlignment="1">
      <alignment horizontal="right" wrapText="1"/>
    </xf>
    <xf numFmtId="0" fontId="10" fillId="5" borderId="4" xfId="0" applyNumberFormat="1" applyFont="1" applyFill="1" applyBorder="1" applyAlignment="1">
      <alignment horizontal="right" wrapText="1"/>
    </xf>
    <xf numFmtId="0" fontId="11" fillId="9" borderId="4" xfId="0" applyNumberFormat="1" applyFont="1" applyFill="1" applyBorder="1" applyAlignment="1">
      <alignment horizontal="right" wrapText="1"/>
    </xf>
    <xf numFmtId="0" fontId="1" fillId="0" borderId="0" xfId="0" applyNumberFormat="1" applyFont="1" applyFill="1" applyBorder="1"/>
    <xf numFmtId="1" fontId="0" fillId="0" borderId="4" xfId="0" applyNumberFormat="1" applyFont="1" applyFill="1" applyBorder="1"/>
    <xf numFmtId="0" fontId="3" fillId="6" borderId="3" xfId="0" applyNumberFormat="1" applyFont="1" applyFill="1" applyBorder="1" applyAlignment="1">
      <alignment horizontal="center"/>
    </xf>
    <xf numFmtId="0" fontId="3" fillId="6" borderId="2" xfId="0" applyNumberFormat="1" applyFont="1" applyFill="1" applyBorder="1" applyAlignment="1">
      <alignment horizontal="center"/>
    </xf>
    <xf numFmtId="0" fontId="10" fillId="6" borderId="4" xfId="0" applyNumberFormat="1" applyFont="1" applyFill="1" applyBorder="1" applyAlignment="1">
      <alignment horizontal="right" wrapText="1"/>
    </xf>
    <xf numFmtId="0" fontId="11" fillId="6" borderId="4" xfId="0" applyNumberFormat="1" applyFont="1" applyFill="1" applyBorder="1" applyAlignment="1">
      <alignment horizontal="right" wrapText="1"/>
    </xf>
    <xf numFmtId="0" fontId="7" fillId="0" borderId="0" xfId="0" applyNumberFormat="1" applyFont="1" applyFill="1" applyBorder="1"/>
    <xf numFmtId="0" fontId="12" fillId="0" borderId="0" xfId="0" applyNumberFormat="1" applyFont="1" applyFill="1" applyBorder="1"/>
    <xf numFmtId="0" fontId="2" fillId="0" borderId="0" xfId="0" applyNumberFormat="1" applyFont="1" applyFill="1" applyBorder="1" applyAlignment="1">
      <alignment horizontal="center" vertical="center"/>
    </xf>
    <xf numFmtId="0" fontId="13" fillId="0" borderId="0" xfId="0" applyNumberFormat="1" applyFont="1" applyFill="1" applyBorder="1" applyAlignment="1">
      <alignment horizontal="center" vertical="center"/>
    </xf>
    <xf numFmtId="0" fontId="2" fillId="10" borderId="19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10" borderId="19" xfId="0" applyNumberFormat="1" applyFont="1" applyFill="1" applyBorder="1" applyAlignment="1">
      <alignment horizontal="center" vertical="center"/>
    </xf>
    <xf numFmtId="0" fontId="2" fillId="10" borderId="18" xfId="0" applyNumberFormat="1" applyFont="1" applyFill="1" applyBorder="1" applyAlignment="1">
      <alignment horizontal="center" vertical="center"/>
    </xf>
    <xf numFmtId="0" fontId="6" fillId="10" borderId="18" xfId="0" applyNumberFormat="1" applyFont="1" applyFill="1" applyBorder="1" applyAlignment="1">
      <alignment horizontal="center" vertical="center"/>
    </xf>
    <xf numFmtId="0" fontId="6" fillId="12" borderId="18" xfId="0" applyNumberFormat="1" applyFont="1" applyFill="1" applyBorder="1" applyAlignment="1">
      <alignment horizontal="center" vertical="center" wrapText="1"/>
    </xf>
    <xf numFmtId="0" fontId="6" fillId="12" borderId="18" xfId="0" applyNumberFormat="1" applyFont="1" applyFill="1" applyBorder="1" applyAlignment="1">
      <alignment horizontal="center" vertical="center"/>
    </xf>
    <xf numFmtId="0" fontId="2" fillId="10" borderId="18" xfId="0" applyNumberFormat="1" applyFont="1" applyFill="1" applyBorder="1" applyAlignment="1">
      <alignment horizontal="center" vertical="center" wrapText="1"/>
    </xf>
    <xf numFmtId="0" fontId="2" fillId="12" borderId="18" xfId="0" applyNumberFormat="1" applyFont="1" applyFill="1" applyBorder="1" applyAlignment="1">
      <alignment horizontal="center" vertical="center" wrapText="1"/>
    </xf>
    <xf numFmtId="0" fontId="14" fillId="0" borderId="0" xfId="0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 applyAlignment="1">
      <alignment horizontal="center" vertical="center"/>
    </xf>
    <xf numFmtId="0" fontId="16" fillId="0" borderId="0" xfId="0" applyNumberFormat="1" applyFont="1" applyFill="1" applyBorder="1" applyAlignment="1">
      <alignment horizontal="center" vertical="center"/>
    </xf>
    <xf numFmtId="0" fontId="17" fillId="0" borderId="0" xfId="0" applyNumberFormat="1" applyFont="1" applyFill="1" applyBorder="1" applyAlignment="1">
      <alignment horizontal="center" vertical="center"/>
    </xf>
    <xf numFmtId="166" fontId="16" fillId="0" borderId="0" xfId="0" applyNumberFormat="1" applyFont="1" applyFill="1" applyBorder="1" applyAlignment="1">
      <alignment horizontal="center" vertical="center"/>
    </xf>
    <xf numFmtId="166" fontId="17" fillId="0" borderId="0" xfId="0" applyNumberFormat="1" applyFont="1" applyFill="1" applyBorder="1" applyAlignment="1">
      <alignment horizontal="center" vertical="center"/>
    </xf>
    <xf numFmtId="166" fontId="0" fillId="0" borderId="0" xfId="0" applyNumberFormat="1" applyFont="1" applyFill="1" applyBorder="1" applyAlignment="1">
      <alignment horizontal="center" vertical="center"/>
    </xf>
    <xf numFmtId="21" fontId="16" fillId="0" borderId="0" xfId="0" applyNumberFormat="1" applyFont="1" applyFill="1" applyBorder="1" applyAlignment="1">
      <alignment horizontal="center" vertical="center"/>
    </xf>
    <xf numFmtId="21" fontId="17" fillId="0" borderId="0" xfId="0" applyNumberFormat="1" applyFont="1" applyFill="1" applyBorder="1" applyAlignment="1">
      <alignment horizontal="center" vertical="center"/>
    </xf>
    <xf numFmtId="21" fontId="0" fillId="0" borderId="0" xfId="0" applyNumberFormat="1" applyFont="1" applyFill="1" applyBorder="1" applyAlignment="1">
      <alignment horizontal="center" vertical="center"/>
    </xf>
    <xf numFmtId="0" fontId="5" fillId="0" borderId="0" xfId="0" applyNumberFormat="1" applyFont="1" applyFill="1" applyBorder="1" applyAlignment="1">
      <alignment horizontal="center"/>
    </xf>
    <xf numFmtId="0" fontId="13" fillId="11" borderId="19" xfId="0" applyNumberFormat="1" applyFont="1" applyFill="1" applyBorder="1" applyAlignment="1">
      <alignment horizontal="center" vertical="center" wrapText="1"/>
    </xf>
    <xf numFmtId="0" fontId="13" fillId="11" borderId="19" xfId="0" applyNumberFormat="1" applyFont="1" applyFill="1" applyBorder="1" applyAlignment="1">
      <alignment vertical="center" wrapText="1"/>
    </xf>
    <xf numFmtId="0" fontId="15" fillId="0" borderId="0" xfId="0" applyNumberFormat="1" applyFont="1" applyFill="1" applyBorder="1"/>
    <xf numFmtId="0" fontId="2" fillId="0" borderId="0" xfId="0" applyNumberFormat="1" applyFont="1" applyFill="1" applyBorder="1"/>
    <xf numFmtId="0" fontId="6" fillId="0" borderId="14" xfId="0" applyNumberFormat="1" applyFont="1" applyFill="1" applyBorder="1" applyAlignment="1">
      <alignment horizontal="center"/>
    </xf>
    <xf numFmtId="0" fontId="0" fillId="0" borderId="11" xfId="0" applyNumberFormat="1" applyFont="1" applyFill="1" applyBorder="1" applyAlignment="1">
      <alignment horizontal="center"/>
    </xf>
    <xf numFmtId="0" fontId="0" fillId="0" borderId="12" xfId="0" applyNumberFormat="1" applyFont="1" applyFill="1" applyBorder="1" applyAlignment="1">
      <alignment horizontal="center"/>
    </xf>
    <xf numFmtId="0" fontId="0" fillId="0" borderId="15" xfId="0" applyNumberFormat="1" applyFont="1" applyFill="1" applyBorder="1" applyAlignment="1">
      <alignment horizontal="center"/>
    </xf>
    <xf numFmtId="0" fontId="0" fillId="0" borderId="10" xfId="0" applyNumberFormat="1" applyFont="1" applyFill="1" applyBorder="1" applyAlignment="1">
      <alignment horizontal="center"/>
    </xf>
    <xf numFmtId="0" fontId="0" fillId="0" borderId="16" xfId="0" applyNumberFormat="1" applyFont="1" applyFill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colors>
    <mruColors>
      <color rgb="FFFFFF99"/>
      <color rgb="FF9966FF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1</xdr:row>
          <xdr:rowOff>76200</xdr:rowOff>
        </xdr:from>
        <xdr:to>
          <xdr:col>0</xdr:col>
          <xdr:colOff>1028700</xdr:colOff>
          <xdr:row>1</xdr:row>
          <xdr:rowOff>295275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Детали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53.21.3\varvarinskoye\MCS%20(Maintenance%20Control%20System)\&#1054;&#1090;&#1095;&#1077;&#1090;%20&#1050;&#1058;&#1043;%20MCS\18.01.1&#1089;&#1084;.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Operators&amp;Fuel"/>
      <sheetName val="Time"/>
    </sheetNames>
    <sheetDataSet>
      <sheetData sheetId="0" refreshError="1"/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indexed="51"/>
  </sheetPr>
  <dimension ref="A1:V643"/>
  <sheetViews>
    <sheetView tabSelected="1" zoomScaleNormal="100" workbookViewId="0">
      <pane xSplit="2" ySplit="6" topLeftCell="I7" activePane="bottomRight" state="frozen"/>
      <selection pane="topRight" activeCell="C1" sqref="C1"/>
      <selection pane="bottomLeft" activeCell="A7" sqref="A7"/>
      <selection pane="bottomRight" activeCell="V14" sqref="V14"/>
    </sheetView>
  </sheetViews>
  <sheetFormatPr defaultRowHeight="12.75" x14ac:dyDescent="0.2"/>
  <cols>
    <col min="1" max="1" width="21.28515625" style="10" customWidth="1"/>
    <col min="2" max="2" width="8.28515625" style="10" customWidth="1"/>
    <col min="3" max="3" width="10.7109375" style="10" customWidth="1"/>
    <col min="4" max="4" width="9.140625" style="10" customWidth="1"/>
    <col min="5" max="16384" width="9.140625" style="10"/>
  </cols>
  <sheetData>
    <row r="1" spans="1:22" ht="15" customHeight="1" x14ac:dyDescent="0.25">
      <c r="A1" s="42"/>
      <c r="B1" s="41"/>
      <c r="C1" s="41"/>
    </row>
    <row r="2" spans="1:22" ht="32.25" customHeight="1" x14ac:dyDescent="0.3">
      <c r="A2" s="9"/>
      <c r="B2" s="64"/>
      <c r="C2" s="64"/>
      <c r="D2" s="67" t="s">
        <v>0</v>
      </c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S2" s="10" t="s">
        <v>1</v>
      </c>
      <c r="T2" s="10">
        <v>192</v>
      </c>
    </row>
    <row r="3" spans="1:22" s="44" customFormat="1" ht="18" customHeight="1" x14ac:dyDescent="0.2">
      <c r="A3" s="65" t="s">
        <v>2</v>
      </c>
      <c r="B3" s="65" t="s">
        <v>3</v>
      </c>
      <c r="C3" s="65" t="s">
        <v>4</v>
      </c>
      <c r="D3" s="65" t="s">
        <v>5</v>
      </c>
      <c r="E3" s="65"/>
      <c r="F3" s="65"/>
      <c r="G3" s="65"/>
      <c r="H3" s="65" t="s">
        <v>6</v>
      </c>
      <c r="I3" s="65"/>
      <c r="J3" s="65"/>
      <c r="K3" s="65"/>
      <c r="L3" s="65"/>
      <c r="M3" s="65"/>
      <c r="N3" s="65"/>
      <c r="O3" s="65"/>
      <c r="P3" s="65"/>
      <c r="Q3" s="65"/>
      <c r="R3" s="65" t="s">
        <v>7</v>
      </c>
      <c r="S3" s="65" t="s">
        <v>8</v>
      </c>
      <c r="T3" s="65" t="s">
        <v>9</v>
      </c>
      <c r="U3" s="65" t="s">
        <v>10</v>
      </c>
      <c r="V3" s="65" t="s">
        <v>11</v>
      </c>
    </row>
    <row r="4" spans="1:22" s="44" customFormat="1" ht="22.5" customHeight="1" x14ac:dyDescent="0.2">
      <c r="A4" s="66"/>
      <c r="B4" s="66"/>
      <c r="C4" s="66"/>
      <c r="D4" s="65" t="s">
        <v>12</v>
      </c>
      <c r="E4" s="65"/>
      <c r="F4" s="65" t="s">
        <v>13</v>
      </c>
      <c r="G4" s="65"/>
      <c r="H4" s="65" t="s">
        <v>13</v>
      </c>
      <c r="I4" s="65"/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5"/>
    </row>
    <row r="5" spans="1:22" s="44" customFormat="1" ht="18" customHeight="1" x14ac:dyDescent="0.2">
      <c r="A5" s="66"/>
      <c r="B5" s="66"/>
      <c r="C5" s="66"/>
      <c r="D5" s="65" t="s">
        <v>14</v>
      </c>
      <c r="E5" s="65" t="s">
        <v>15</v>
      </c>
      <c r="F5" s="65" t="s">
        <v>16</v>
      </c>
      <c r="G5" s="65" t="s">
        <v>17</v>
      </c>
      <c r="H5" s="65" t="s">
        <v>18</v>
      </c>
      <c r="I5" s="65" t="s">
        <v>19</v>
      </c>
      <c r="J5" s="65" t="s">
        <v>20</v>
      </c>
      <c r="K5" s="65" t="s">
        <v>21</v>
      </c>
      <c r="L5" s="65" t="s">
        <v>22</v>
      </c>
      <c r="M5" s="65" t="s">
        <v>23</v>
      </c>
      <c r="N5" s="65" t="s">
        <v>24</v>
      </c>
      <c r="O5" s="65" t="s">
        <v>25</v>
      </c>
      <c r="P5" s="65" t="s">
        <v>26</v>
      </c>
      <c r="Q5" s="65" t="s">
        <v>27</v>
      </c>
      <c r="R5" s="65"/>
      <c r="S5" s="65"/>
      <c r="T5" s="65"/>
      <c r="U5" s="65"/>
      <c r="V5" s="65"/>
    </row>
    <row r="6" spans="1:22" s="44" customFormat="1" ht="23.25" customHeight="1" x14ac:dyDescent="0.2">
      <c r="A6" s="66"/>
      <c r="B6" s="66"/>
      <c r="C6" s="66"/>
      <c r="D6" s="65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 t="s">
        <v>26</v>
      </c>
      <c r="Q6" s="65" t="s">
        <v>27</v>
      </c>
      <c r="R6" s="65"/>
      <c r="S6" s="65"/>
      <c r="T6" s="65"/>
      <c r="U6" s="65"/>
      <c r="V6" s="65"/>
    </row>
    <row r="7" spans="1:22" s="43" customFormat="1" ht="13.5" customHeight="1" x14ac:dyDescent="0.2">
      <c r="A7" s="43" t="s">
        <v>28</v>
      </c>
      <c r="B7" s="43" t="s">
        <v>29</v>
      </c>
      <c r="C7" s="43">
        <v>0</v>
      </c>
      <c r="D7" s="43">
        <v>0</v>
      </c>
      <c r="E7" s="43">
        <v>0</v>
      </c>
      <c r="F7" s="43">
        <v>0</v>
      </c>
      <c r="G7" s="43">
        <v>0</v>
      </c>
      <c r="H7" s="43">
        <v>0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>
        <v>0</v>
      </c>
      <c r="O7" s="43">
        <v>0</v>
      </c>
      <c r="P7" s="43">
        <v>0</v>
      </c>
      <c r="Q7" s="43">
        <v>0</v>
      </c>
      <c r="R7" s="46">
        <f t="shared" ref="R7:R19" si="0">SUM(D7:G7)</f>
        <v>0</v>
      </c>
      <c r="S7" s="43">
        <f t="shared" ref="S7:S14" si="1">SUM(H7:O7)+(0+0)</f>
        <v>0</v>
      </c>
      <c r="T7" s="46">
        <f t="shared" ref="T7:T19" si="2">(($T$2-D7-E7-F7-G7)/$T$2)</f>
        <v>1</v>
      </c>
      <c r="U7" s="43" t="s">
        <v>30</v>
      </c>
      <c r="V7" s="43">
        <f t="shared" ref="V7:V19" si="3">($T$2-SUM(D7:O7))/$T$2</f>
        <v>1</v>
      </c>
    </row>
    <row r="8" spans="1:22" s="43" customFormat="1" x14ac:dyDescent="0.2">
      <c r="A8" s="43" t="s">
        <v>31</v>
      </c>
      <c r="B8" s="43" t="s">
        <v>29</v>
      </c>
      <c r="C8" s="43">
        <v>0</v>
      </c>
      <c r="D8" s="43">
        <v>0</v>
      </c>
      <c r="E8" s="43">
        <v>0</v>
      </c>
      <c r="F8" s="43">
        <v>0</v>
      </c>
      <c r="G8" s="43">
        <v>0</v>
      </c>
      <c r="H8" s="43">
        <v>0</v>
      </c>
      <c r="I8" s="43">
        <v>0</v>
      </c>
      <c r="J8" s="43">
        <v>0</v>
      </c>
      <c r="K8" s="43">
        <v>0</v>
      </c>
      <c r="L8" s="43">
        <v>0</v>
      </c>
      <c r="M8" s="43">
        <v>0</v>
      </c>
      <c r="N8" s="43">
        <v>0</v>
      </c>
      <c r="O8" s="43">
        <v>0</v>
      </c>
      <c r="P8" s="43">
        <v>0</v>
      </c>
      <c r="Q8" s="43">
        <v>0</v>
      </c>
      <c r="R8" s="46">
        <f t="shared" si="0"/>
        <v>0</v>
      </c>
      <c r="S8" s="43">
        <f t="shared" si="1"/>
        <v>0</v>
      </c>
      <c r="T8" s="46">
        <f t="shared" si="2"/>
        <v>1</v>
      </c>
      <c r="U8" s="43" t="s">
        <v>30</v>
      </c>
      <c r="V8" s="43">
        <f t="shared" si="3"/>
        <v>1</v>
      </c>
    </row>
    <row r="9" spans="1:22" s="43" customFormat="1" x14ac:dyDescent="0.2">
      <c r="A9" s="43" t="s">
        <v>32</v>
      </c>
      <c r="B9" s="43" t="s">
        <v>29</v>
      </c>
      <c r="C9" s="43">
        <v>0</v>
      </c>
      <c r="D9" s="43">
        <v>0</v>
      </c>
      <c r="E9" s="43">
        <v>0</v>
      </c>
      <c r="F9" s="43">
        <v>0</v>
      </c>
      <c r="G9" s="43">
        <v>0</v>
      </c>
      <c r="H9" s="43">
        <v>0</v>
      </c>
      <c r="I9" s="43">
        <v>0</v>
      </c>
      <c r="J9" s="43">
        <v>0</v>
      </c>
      <c r="K9" s="43">
        <v>0</v>
      </c>
      <c r="L9" s="43">
        <v>0</v>
      </c>
      <c r="M9" s="43">
        <v>0</v>
      </c>
      <c r="N9" s="43">
        <v>0</v>
      </c>
      <c r="O9" s="43">
        <v>0</v>
      </c>
      <c r="P9" s="43">
        <v>0</v>
      </c>
      <c r="Q9" s="43">
        <v>0</v>
      </c>
      <c r="R9" s="46">
        <f t="shared" si="0"/>
        <v>0</v>
      </c>
      <c r="S9" s="43">
        <f t="shared" si="1"/>
        <v>0</v>
      </c>
      <c r="T9" s="46">
        <f t="shared" si="2"/>
        <v>1</v>
      </c>
      <c r="U9" s="43" t="s">
        <v>30</v>
      </c>
      <c r="V9" s="43">
        <f t="shared" si="3"/>
        <v>1</v>
      </c>
    </row>
    <row r="10" spans="1:22" s="43" customFormat="1" x14ac:dyDescent="0.2">
      <c r="A10" s="43" t="s">
        <v>33</v>
      </c>
      <c r="B10" s="43" t="s">
        <v>29</v>
      </c>
      <c r="C10" s="43">
        <v>0</v>
      </c>
      <c r="D10" s="43">
        <v>0</v>
      </c>
      <c r="E10" s="43">
        <v>0</v>
      </c>
      <c r="F10" s="43">
        <v>0</v>
      </c>
      <c r="G10" s="43">
        <v>0</v>
      </c>
      <c r="H10" s="43">
        <v>0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>
        <v>0</v>
      </c>
      <c r="O10" s="43">
        <v>0</v>
      </c>
      <c r="P10" s="43">
        <v>0</v>
      </c>
      <c r="Q10" s="43">
        <v>0</v>
      </c>
      <c r="R10" s="46">
        <f t="shared" si="0"/>
        <v>0</v>
      </c>
      <c r="S10" s="43">
        <f t="shared" si="1"/>
        <v>0</v>
      </c>
      <c r="T10" s="46">
        <f t="shared" si="2"/>
        <v>1</v>
      </c>
      <c r="U10" s="43" t="s">
        <v>30</v>
      </c>
      <c r="V10" s="43">
        <f t="shared" si="3"/>
        <v>1</v>
      </c>
    </row>
    <row r="11" spans="1:22" s="43" customFormat="1" x14ac:dyDescent="0.2">
      <c r="A11" s="43" t="s">
        <v>34</v>
      </c>
      <c r="B11" s="43" t="s">
        <v>29</v>
      </c>
      <c r="C11" s="43">
        <v>0</v>
      </c>
      <c r="D11" s="43">
        <v>0</v>
      </c>
      <c r="E11" s="43">
        <v>0</v>
      </c>
      <c r="F11" s="43">
        <v>0</v>
      </c>
      <c r="G11" s="43">
        <v>0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>
        <v>0</v>
      </c>
      <c r="O11" s="43">
        <v>0</v>
      </c>
      <c r="P11" s="43">
        <v>0</v>
      </c>
      <c r="Q11" s="43">
        <v>0</v>
      </c>
      <c r="R11" s="46">
        <f t="shared" si="0"/>
        <v>0</v>
      </c>
      <c r="S11" s="43">
        <f t="shared" si="1"/>
        <v>0</v>
      </c>
      <c r="T11" s="46">
        <f t="shared" si="2"/>
        <v>1</v>
      </c>
      <c r="U11" s="43" t="s">
        <v>30</v>
      </c>
      <c r="V11" s="43">
        <f t="shared" si="3"/>
        <v>1</v>
      </c>
    </row>
    <row r="12" spans="1:22" s="43" customFormat="1" x14ac:dyDescent="0.2">
      <c r="A12" s="43" t="s">
        <v>35</v>
      </c>
      <c r="B12" s="43" t="s">
        <v>29</v>
      </c>
      <c r="C12" s="43">
        <v>0</v>
      </c>
      <c r="D12" s="43">
        <v>0</v>
      </c>
      <c r="E12" s="43">
        <v>0</v>
      </c>
      <c r="F12" s="43">
        <v>0</v>
      </c>
      <c r="G12" s="43">
        <v>0</v>
      </c>
      <c r="H12" s="43">
        <v>0</v>
      </c>
      <c r="I12" s="43">
        <v>0</v>
      </c>
      <c r="J12" s="43">
        <v>0</v>
      </c>
      <c r="K12" s="43">
        <v>0</v>
      </c>
      <c r="L12" s="43">
        <v>0</v>
      </c>
      <c r="M12" s="43">
        <v>0</v>
      </c>
      <c r="N12" s="43">
        <v>0</v>
      </c>
      <c r="O12" s="43">
        <v>0</v>
      </c>
      <c r="P12" s="43">
        <v>0</v>
      </c>
      <c r="Q12" s="43">
        <v>0</v>
      </c>
      <c r="R12" s="46">
        <f t="shared" si="0"/>
        <v>0</v>
      </c>
      <c r="S12" s="43">
        <f t="shared" si="1"/>
        <v>0</v>
      </c>
      <c r="T12" s="46">
        <f t="shared" si="2"/>
        <v>1</v>
      </c>
      <c r="U12" s="43" t="s">
        <v>30</v>
      </c>
      <c r="V12" s="43">
        <f t="shared" si="3"/>
        <v>1</v>
      </c>
    </row>
    <row r="13" spans="1:22" s="43" customFormat="1" x14ac:dyDescent="0.2">
      <c r="A13" s="43" t="s">
        <v>36</v>
      </c>
      <c r="B13" s="43" t="s">
        <v>29</v>
      </c>
      <c r="C13" s="43">
        <v>0</v>
      </c>
      <c r="D13" s="43">
        <v>0</v>
      </c>
      <c r="E13" s="43">
        <v>0</v>
      </c>
      <c r="F13" s="43">
        <v>0</v>
      </c>
      <c r="G13" s="43">
        <v>0</v>
      </c>
      <c r="H13" s="43">
        <v>0</v>
      </c>
      <c r="I13" s="43">
        <v>0</v>
      </c>
      <c r="J13" s="43">
        <v>0</v>
      </c>
      <c r="K13" s="43">
        <v>0</v>
      </c>
      <c r="L13" s="43">
        <v>0</v>
      </c>
      <c r="M13" s="43">
        <v>0</v>
      </c>
      <c r="N13" s="43">
        <v>0</v>
      </c>
      <c r="O13" s="43">
        <v>0</v>
      </c>
      <c r="P13" s="43">
        <v>0</v>
      </c>
      <c r="Q13" s="43">
        <v>0</v>
      </c>
      <c r="R13" s="46">
        <f t="shared" si="0"/>
        <v>0</v>
      </c>
      <c r="S13" s="43">
        <f t="shared" si="1"/>
        <v>0</v>
      </c>
      <c r="T13" s="46">
        <f t="shared" si="2"/>
        <v>1</v>
      </c>
      <c r="U13" s="43" t="s">
        <v>30</v>
      </c>
      <c r="V13" s="43">
        <f t="shared" si="3"/>
        <v>1</v>
      </c>
    </row>
    <row r="14" spans="1:22" s="43" customFormat="1" x14ac:dyDescent="0.2">
      <c r="A14" s="43" t="s">
        <v>37</v>
      </c>
      <c r="B14" s="43" t="s">
        <v>38</v>
      </c>
      <c r="C14" s="43">
        <v>0</v>
      </c>
      <c r="D14" s="43">
        <v>0</v>
      </c>
      <c r="E14" s="43">
        <v>0</v>
      </c>
      <c r="F14" s="43">
        <v>0</v>
      </c>
      <c r="G14" s="43">
        <v>0</v>
      </c>
      <c r="H14" s="43">
        <v>0</v>
      </c>
      <c r="I14" s="43">
        <v>0</v>
      </c>
      <c r="J14" s="43">
        <v>0</v>
      </c>
      <c r="K14" s="43">
        <v>0</v>
      </c>
      <c r="L14" s="43">
        <v>0</v>
      </c>
      <c r="M14" s="43">
        <v>0</v>
      </c>
      <c r="N14" s="43">
        <v>0</v>
      </c>
      <c r="O14" s="43">
        <v>0</v>
      </c>
      <c r="P14" s="43">
        <v>0</v>
      </c>
      <c r="Q14" s="43">
        <v>0</v>
      </c>
      <c r="R14" s="46">
        <f t="shared" si="0"/>
        <v>0</v>
      </c>
      <c r="S14" s="43">
        <f t="shared" si="1"/>
        <v>0</v>
      </c>
      <c r="T14" s="46">
        <f t="shared" si="2"/>
        <v>1</v>
      </c>
      <c r="U14" s="43" t="s">
        <v>30</v>
      </c>
      <c r="V14" s="43">
        <f t="shared" si="3"/>
        <v>1</v>
      </c>
    </row>
    <row r="15" spans="1:22" s="43" customFormat="1" x14ac:dyDescent="0.2">
      <c r="A15" s="43" t="s">
        <v>39</v>
      </c>
      <c r="B15" s="43" t="s">
        <v>38</v>
      </c>
      <c r="C15" s="43">
        <v>0</v>
      </c>
      <c r="D15" s="43">
        <v>12.5</v>
      </c>
      <c r="E15" s="43">
        <v>0</v>
      </c>
      <c r="F15" s="43">
        <v>0</v>
      </c>
      <c r="G15" s="43">
        <v>0</v>
      </c>
      <c r="H15" s="43">
        <v>0</v>
      </c>
      <c r="I15" s="43">
        <v>0</v>
      </c>
      <c r="J15" s="43">
        <v>0</v>
      </c>
      <c r="K15" s="43">
        <v>0</v>
      </c>
      <c r="L15" s="43">
        <v>0</v>
      </c>
      <c r="M15" s="43">
        <v>0</v>
      </c>
      <c r="N15" s="43">
        <v>0</v>
      </c>
      <c r="O15" s="43">
        <v>0</v>
      </c>
      <c r="P15" s="43">
        <v>-4.1666666666666661</v>
      </c>
      <c r="Q15" s="43">
        <v>-12.666666666666666</v>
      </c>
      <c r="R15" s="46">
        <f t="shared" si="0"/>
        <v>12.5</v>
      </c>
      <c r="S15" s="43">
        <f>SUM(H15:O15)+(-4.16666666666667+-12.6666666666667)</f>
        <v>-16.833333333333371</v>
      </c>
      <c r="T15" s="46">
        <f t="shared" si="2"/>
        <v>0.93489583333333337</v>
      </c>
      <c r="U15" s="43" t="s">
        <v>30</v>
      </c>
      <c r="V15" s="43">
        <f t="shared" si="3"/>
        <v>0.93489583333333337</v>
      </c>
    </row>
    <row r="16" spans="1:22" s="43" customFormat="1" x14ac:dyDescent="0.2">
      <c r="A16" s="43" t="s">
        <v>40</v>
      </c>
      <c r="B16" s="43" t="s">
        <v>38</v>
      </c>
      <c r="C16" s="43">
        <v>0</v>
      </c>
      <c r="D16" s="43">
        <v>36</v>
      </c>
      <c r="E16" s="43">
        <v>0</v>
      </c>
      <c r="F16" s="43">
        <v>0</v>
      </c>
      <c r="G16" s="43">
        <v>0</v>
      </c>
      <c r="H16" s="43">
        <v>0</v>
      </c>
      <c r="I16" s="43">
        <v>0</v>
      </c>
      <c r="J16" s="43">
        <v>0</v>
      </c>
      <c r="K16" s="43">
        <v>0</v>
      </c>
      <c r="L16" s="43">
        <v>0</v>
      </c>
      <c r="M16" s="43">
        <v>0</v>
      </c>
      <c r="N16" s="43">
        <v>0</v>
      </c>
      <c r="O16" s="43">
        <v>0</v>
      </c>
      <c r="P16" s="43">
        <v>-0.16666666666666666</v>
      </c>
      <c r="Q16" s="43">
        <v>-8</v>
      </c>
      <c r="R16" s="46">
        <f t="shared" si="0"/>
        <v>36</v>
      </c>
      <c r="S16" s="43">
        <f>SUM(H16:O16)+(-0.166666666666667+-8)</f>
        <v>-8.1666666666666679</v>
      </c>
      <c r="T16" s="46">
        <f t="shared" si="2"/>
        <v>0.8125</v>
      </c>
      <c r="U16" s="43" t="s">
        <v>30</v>
      </c>
      <c r="V16" s="43">
        <f t="shared" si="3"/>
        <v>0.8125</v>
      </c>
    </row>
    <row r="17" spans="1:22" s="43" customFormat="1" x14ac:dyDescent="0.2">
      <c r="A17" s="43" t="s">
        <v>41</v>
      </c>
      <c r="B17" s="43" t="s">
        <v>38</v>
      </c>
      <c r="C17" s="43">
        <v>0</v>
      </c>
      <c r="D17" s="43">
        <v>0</v>
      </c>
      <c r="E17" s="43">
        <v>0</v>
      </c>
      <c r="F17" s="43">
        <v>0</v>
      </c>
      <c r="G17" s="43">
        <v>0</v>
      </c>
      <c r="H17" s="43">
        <v>0</v>
      </c>
      <c r="I17" s="43">
        <v>0</v>
      </c>
      <c r="J17" s="43">
        <v>0</v>
      </c>
      <c r="K17" s="43">
        <v>0</v>
      </c>
      <c r="L17" s="43">
        <v>0</v>
      </c>
      <c r="M17" s="43">
        <v>0</v>
      </c>
      <c r="N17" s="43">
        <v>0</v>
      </c>
      <c r="O17" s="43">
        <v>0</v>
      </c>
      <c r="P17" s="43">
        <v>0</v>
      </c>
      <c r="Q17" s="43">
        <v>0</v>
      </c>
      <c r="R17" s="46">
        <f t="shared" si="0"/>
        <v>0</v>
      </c>
      <c r="S17" s="43">
        <f>SUM(H17:O17)+(0+0)</f>
        <v>0</v>
      </c>
      <c r="T17" s="46">
        <f t="shared" si="2"/>
        <v>1</v>
      </c>
      <c r="U17" s="43" t="s">
        <v>30</v>
      </c>
      <c r="V17" s="43">
        <f t="shared" si="3"/>
        <v>1</v>
      </c>
    </row>
    <row r="18" spans="1:22" s="43" customFormat="1" x14ac:dyDescent="0.2">
      <c r="A18" s="43" t="s">
        <v>42</v>
      </c>
      <c r="B18" s="43" t="s">
        <v>38</v>
      </c>
      <c r="C18" s="43">
        <v>0</v>
      </c>
      <c r="D18" s="43">
        <v>0</v>
      </c>
      <c r="E18" s="43">
        <v>0</v>
      </c>
      <c r="F18" s="43">
        <v>0</v>
      </c>
      <c r="G18" s="43">
        <v>0</v>
      </c>
      <c r="H18" s="43">
        <v>0</v>
      </c>
      <c r="I18" s="43">
        <v>0</v>
      </c>
      <c r="J18" s="43">
        <v>0</v>
      </c>
      <c r="K18" s="43">
        <v>0</v>
      </c>
      <c r="L18" s="43">
        <v>0</v>
      </c>
      <c r="M18" s="43">
        <v>0</v>
      </c>
      <c r="N18" s="43">
        <v>0</v>
      </c>
      <c r="O18" s="43">
        <v>0</v>
      </c>
      <c r="P18" s="43">
        <v>0</v>
      </c>
      <c r="Q18" s="43">
        <v>0</v>
      </c>
      <c r="R18" s="46">
        <f t="shared" si="0"/>
        <v>0</v>
      </c>
      <c r="S18" s="43">
        <f>SUM(H18:O18)+(0+0)</f>
        <v>0</v>
      </c>
      <c r="T18" s="46">
        <f t="shared" si="2"/>
        <v>1</v>
      </c>
      <c r="U18" s="43" t="s">
        <v>30</v>
      </c>
      <c r="V18" s="43">
        <f t="shared" si="3"/>
        <v>1</v>
      </c>
    </row>
    <row r="19" spans="1:22" s="43" customFormat="1" x14ac:dyDescent="0.2">
      <c r="A19" s="43" t="s">
        <v>43</v>
      </c>
      <c r="B19" s="43" t="s">
        <v>38</v>
      </c>
      <c r="C19" s="43">
        <v>0</v>
      </c>
      <c r="D19" s="43">
        <v>0</v>
      </c>
      <c r="E19" s="43">
        <v>0</v>
      </c>
      <c r="F19" s="43">
        <v>0</v>
      </c>
      <c r="G19" s="43">
        <v>0</v>
      </c>
      <c r="H19" s="43">
        <v>0</v>
      </c>
      <c r="I19" s="43">
        <v>0</v>
      </c>
      <c r="J19" s="43">
        <v>0</v>
      </c>
      <c r="K19" s="43">
        <v>0</v>
      </c>
      <c r="L19" s="43">
        <v>0</v>
      </c>
      <c r="M19" s="43">
        <v>0</v>
      </c>
      <c r="N19" s="43">
        <v>0</v>
      </c>
      <c r="O19" s="43">
        <v>0</v>
      </c>
      <c r="P19" s="43">
        <v>0</v>
      </c>
      <c r="Q19" s="43">
        <v>0</v>
      </c>
      <c r="R19" s="46">
        <f t="shared" si="0"/>
        <v>0</v>
      </c>
      <c r="S19" s="43">
        <f>SUM(H19:O19)+(0+0)</f>
        <v>0</v>
      </c>
      <c r="T19" s="46">
        <f t="shared" si="2"/>
        <v>1</v>
      </c>
      <c r="U19" s="43" t="s">
        <v>30</v>
      </c>
      <c r="V19" s="43">
        <f t="shared" si="3"/>
        <v>1</v>
      </c>
    </row>
    <row r="20" spans="1:22" s="43" customFormat="1" x14ac:dyDescent="0.2">
      <c r="A20" s="45" t="s">
        <v>44</v>
      </c>
      <c r="B20" s="45"/>
      <c r="C20" s="45">
        <f t="shared" ref="C20:Q20" si="4">SUM(C7:C19)</f>
        <v>0</v>
      </c>
      <c r="D20" s="45">
        <f t="shared" si="4"/>
        <v>48.5</v>
      </c>
      <c r="E20" s="45">
        <f t="shared" si="4"/>
        <v>0</v>
      </c>
      <c r="F20" s="45">
        <f t="shared" si="4"/>
        <v>0</v>
      </c>
      <c r="G20" s="45">
        <f t="shared" si="4"/>
        <v>0</v>
      </c>
      <c r="H20" s="45">
        <f t="shared" si="4"/>
        <v>0</v>
      </c>
      <c r="I20" s="45">
        <f t="shared" si="4"/>
        <v>0</v>
      </c>
      <c r="J20" s="45">
        <f t="shared" si="4"/>
        <v>0</v>
      </c>
      <c r="K20" s="45">
        <f t="shared" si="4"/>
        <v>0</v>
      </c>
      <c r="L20" s="45">
        <f t="shared" si="4"/>
        <v>0</v>
      </c>
      <c r="M20" s="45">
        <f t="shared" si="4"/>
        <v>0</v>
      </c>
      <c r="N20" s="45">
        <f t="shared" si="4"/>
        <v>0</v>
      </c>
      <c r="O20" s="45">
        <f t="shared" si="4"/>
        <v>0</v>
      </c>
      <c r="P20" s="45">
        <f t="shared" si="4"/>
        <v>-4.333333333333333</v>
      </c>
      <c r="Q20" s="45">
        <f t="shared" si="4"/>
        <v>-20.666666666666664</v>
      </c>
      <c r="R20" s="47">
        <f>AVERAGE(R7:R19)</f>
        <v>3.7307692307692308</v>
      </c>
      <c r="S20" s="45"/>
      <c r="T20" s="47">
        <f>AVERAGE(T7:T19)</f>
        <v>0.98056891025641035</v>
      </c>
      <c r="U20" s="45"/>
      <c r="V20" s="45"/>
    </row>
    <row r="21" spans="1:22" s="43" customFormat="1" x14ac:dyDescent="0.2">
      <c r="A21" s="43" t="s">
        <v>45</v>
      </c>
      <c r="B21" s="43" t="s">
        <v>46</v>
      </c>
      <c r="C21" s="43">
        <v>0</v>
      </c>
      <c r="D21" s="43">
        <v>0</v>
      </c>
      <c r="E21" s="43">
        <v>0</v>
      </c>
      <c r="F21" s="43">
        <v>0</v>
      </c>
      <c r="G21" s="43">
        <v>0</v>
      </c>
      <c r="H21" s="43">
        <v>0</v>
      </c>
      <c r="I21" s="43">
        <v>0</v>
      </c>
      <c r="J21" s="43">
        <v>0</v>
      </c>
      <c r="K21" s="43">
        <v>0</v>
      </c>
      <c r="L21" s="43">
        <v>0</v>
      </c>
      <c r="M21" s="43">
        <v>0</v>
      </c>
      <c r="N21" s="43">
        <v>0</v>
      </c>
      <c r="O21" s="43">
        <v>0</v>
      </c>
      <c r="P21" s="43">
        <v>0</v>
      </c>
      <c r="Q21" s="43">
        <v>0</v>
      </c>
      <c r="R21" s="46">
        <f>SUM(D21:G21)</f>
        <v>0</v>
      </c>
      <c r="S21" s="43">
        <f>SUM(H21:O21)+(0+0)</f>
        <v>0</v>
      </c>
      <c r="T21" s="46">
        <f>(($T$2-D21-E21-F21-G21)/$T$2)</f>
        <v>1</v>
      </c>
      <c r="U21" s="43" t="s">
        <v>47</v>
      </c>
      <c r="V21" s="43">
        <f>($T$2-SUM(D21:O21))/$T$2</f>
        <v>1</v>
      </c>
    </row>
    <row r="22" spans="1:22" s="43" customFormat="1" x14ac:dyDescent="0.2">
      <c r="A22" s="43" t="s">
        <v>48</v>
      </c>
      <c r="B22" s="43" t="s">
        <v>46</v>
      </c>
      <c r="C22" s="43">
        <v>0</v>
      </c>
      <c r="D22" s="43">
        <v>0</v>
      </c>
      <c r="E22" s="43">
        <v>0</v>
      </c>
      <c r="F22" s="43">
        <v>0</v>
      </c>
      <c r="G22" s="43">
        <v>0</v>
      </c>
      <c r="H22" s="43">
        <v>0</v>
      </c>
      <c r="I22" s="43">
        <v>0</v>
      </c>
      <c r="J22" s="43">
        <v>0</v>
      </c>
      <c r="K22" s="43">
        <v>0</v>
      </c>
      <c r="L22" s="43">
        <v>0</v>
      </c>
      <c r="M22" s="43">
        <v>0</v>
      </c>
      <c r="N22" s="43">
        <v>0</v>
      </c>
      <c r="O22" s="43">
        <v>0</v>
      </c>
      <c r="P22" s="43">
        <v>0</v>
      </c>
      <c r="Q22" s="43">
        <v>0</v>
      </c>
      <c r="R22" s="46">
        <f>SUM(D22:G22)</f>
        <v>0</v>
      </c>
      <c r="S22" s="43">
        <f>SUM(H22:O22)+(0+0)</f>
        <v>0</v>
      </c>
      <c r="T22" s="46">
        <f>(($T$2-D22-E22-F22-G22)/$T$2)</f>
        <v>1</v>
      </c>
      <c r="U22" s="43" t="s">
        <v>47</v>
      </c>
      <c r="V22" s="43">
        <f>($T$2-SUM(D22:O22))/$T$2</f>
        <v>1</v>
      </c>
    </row>
    <row r="23" spans="1:22" s="43" customFormat="1" x14ac:dyDescent="0.2">
      <c r="A23" s="43" t="s">
        <v>49</v>
      </c>
      <c r="B23" s="43" t="s">
        <v>50</v>
      </c>
      <c r="C23" s="43">
        <v>0</v>
      </c>
      <c r="D23" s="43">
        <v>0</v>
      </c>
      <c r="E23" s="43">
        <v>0</v>
      </c>
      <c r="F23" s="43">
        <v>0</v>
      </c>
      <c r="G23" s="43">
        <v>0</v>
      </c>
      <c r="H23" s="43">
        <v>0</v>
      </c>
      <c r="I23" s="43">
        <v>0</v>
      </c>
      <c r="J23" s="43">
        <v>0</v>
      </c>
      <c r="K23" s="43">
        <v>0</v>
      </c>
      <c r="L23" s="43">
        <v>0</v>
      </c>
      <c r="M23" s="43">
        <v>0</v>
      </c>
      <c r="N23" s="43">
        <v>0</v>
      </c>
      <c r="O23" s="43">
        <v>0</v>
      </c>
      <c r="P23" s="43">
        <v>0</v>
      </c>
      <c r="Q23" s="43">
        <v>0</v>
      </c>
      <c r="R23" s="46">
        <f>SUM(D23:G23)</f>
        <v>0</v>
      </c>
      <c r="S23" s="43">
        <f>SUM(H23:O23)+(0+0)</f>
        <v>0</v>
      </c>
      <c r="T23" s="46">
        <f>(($T$2-D23-E23-F23-G23)/$T$2)</f>
        <v>1</v>
      </c>
      <c r="U23" s="43" t="s">
        <v>47</v>
      </c>
      <c r="V23" s="43">
        <f>($T$2-SUM(D23:O23))/$T$2</f>
        <v>1</v>
      </c>
    </row>
    <row r="24" spans="1:22" s="43" customFormat="1" x14ac:dyDescent="0.2">
      <c r="A24" s="43" t="s">
        <v>51</v>
      </c>
      <c r="B24" s="43" t="s">
        <v>52</v>
      </c>
      <c r="C24" s="43">
        <v>0</v>
      </c>
      <c r="D24" s="43">
        <v>0</v>
      </c>
      <c r="E24" s="43">
        <v>0</v>
      </c>
      <c r="F24" s="43">
        <v>0</v>
      </c>
      <c r="G24" s="43">
        <v>0</v>
      </c>
      <c r="H24" s="43">
        <v>0</v>
      </c>
      <c r="I24" s="43">
        <v>0</v>
      </c>
      <c r="J24" s="43">
        <v>0</v>
      </c>
      <c r="K24" s="43">
        <v>0</v>
      </c>
      <c r="L24" s="43">
        <v>0</v>
      </c>
      <c r="M24" s="43">
        <v>0</v>
      </c>
      <c r="N24" s="43">
        <v>0</v>
      </c>
      <c r="O24" s="43">
        <v>0</v>
      </c>
      <c r="P24" s="43">
        <v>0</v>
      </c>
      <c r="Q24" s="43">
        <v>0</v>
      </c>
      <c r="R24" s="46">
        <f>SUM(D24:G24)</f>
        <v>0</v>
      </c>
      <c r="S24" s="43">
        <f>SUM(H24:O24)+(0+0)</f>
        <v>0</v>
      </c>
      <c r="T24" s="46">
        <f>(($T$2-D24-E24-F24-G24)/$T$2)</f>
        <v>1</v>
      </c>
      <c r="U24" s="43" t="s">
        <v>47</v>
      </c>
      <c r="V24" s="43">
        <f>($T$2-SUM(D24:O24))/$T$2</f>
        <v>1</v>
      </c>
    </row>
    <row r="25" spans="1:22" s="43" customFormat="1" x14ac:dyDescent="0.2">
      <c r="A25" s="43" t="s">
        <v>53</v>
      </c>
      <c r="B25" s="43" t="s">
        <v>52</v>
      </c>
      <c r="C25" s="43">
        <v>0</v>
      </c>
      <c r="D25" s="43">
        <v>0</v>
      </c>
      <c r="E25" s="43">
        <v>0</v>
      </c>
      <c r="F25" s="43">
        <v>0</v>
      </c>
      <c r="G25" s="43">
        <v>0</v>
      </c>
      <c r="H25" s="43">
        <v>0</v>
      </c>
      <c r="I25" s="43">
        <v>0</v>
      </c>
      <c r="J25" s="43">
        <v>0</v>
      </c>
      <c r="K25" s="43">
        <v>0</v>
      </c>
      <c r="L25" s="43">
        <v>0</v>
      </c>
      <c r="M25" s="43">
        <v>0</v>
      </c>
      <c r="N25" s="43">
        <v>0</v>
      </c>
      <c r="O25" s="43">
        <v>0</v>
      </c>
      <c r="P25" s="43">
        <v>0</v>
      </c>
      <c r="Q25" s="43">
        <v>0</v>
      </c>
      <c r="R25" s="46">
        <f>SUM(D25:G25)</f>
        <v>0</v>
      </c>
      <c r="S25" s="43">
        <f>SUM(H25:O25)+(0+0)</f>
        <v>0</v>
      </c>
      <c r="T25" s="46">
        <f>(($T$2-D25-E25-F25-G25)/$T$2)</f>
        <v>1</v>
      </c>
      <c r="U25" s="43" t="s">
        <v>47</v>
      </c>
      <c r="V25" s="43">
        <f>($T$2-SUM(D25:O25))/$T$2</f>
        <v>1</v>
      </c>
    </row>
    <row r="26" spans="1:22" s="43" customFormat="1" x14ac:dyDescent="0.2">
      <c r="A26" s="45" t="s">
        <v>54</v>
      </c>
      <c r="B26" s="45"/>
      <c r="C26" s="45">
        <f t="shared" ref="C26:Q26" si="5">SUM(C21:C25)</f>
        <v>0</v>
      </c>
      <c r="D26" s="45">
        <f t="shared" si="5"/>
        <v>0</v>
      </c>
      <c r="E26" s="45">
        <f t="shared" si="5"/>
        <v>0</v>
      </c>
      <c r="F26" s="45">
        <f t="shared" si="5"/>
        <v>0</v>
      </c>
      <c r="G26" s="45">
        <f t="shared" si="5"/>
        <v>0</v>
      </c>
      <c r="H26" s="45">
        <f t="shared" si="5"/>
        <v>0</v>
      </c>
      <c r="I26" s="45">
        <f t="shared" si="5"/>
        <v>0</v>
      </c>
      <c r="J26" s="45">
        <f t="shared" si="5"/>
        <v>0</v>
      </c>
      <c r="K26" s="45">
        <f t="shared" si="5"/>
        <v>0</v>
      </c>
      <c r="L26" s="45">
        <f t="shared" si="5"/>
        <v>0</v>
      </c>
      <c r="M26" s="45">
        <f t="shared" si="5"/>
        <v>0</v>
      </c>
      <c r="N26" s="45">
        <f t="shared" si="5"/>
        <v>0</v>
      </c>
      <c r="O26" s="45">
        <f t="shared" si="5"/>
        <v>0</v>
      </c>
      <c r="P26" s="45">
        <f t="shared" si="5"/>
        <v>0</v>
      </c>
      <c r="Q26" s="45">
        <f t="shared" si="5"/>
        <v>0</v>
      </c>
      <c r="R26" s="47">
        <f>AVERAGE(R21:R25)</f>
        <v>0</v>
      </c>
      <c r="S26" s="45"/>
      <c r="T26" s="47">
        <f>AVERAGE(T21:T25)</f>
        <v>1</v>
      </c>
      <c r="U26" s="45"/>
      <c r="V26" s="45"/>
    </row>
    <row r="27" spans="1:22" s="43" customFormat="1" x14ac:dyDescent="0.2">
      <c r="A27" s="43" t="s">
        <v>55</v>
      </c>
      <c r="B27" s="43" t="s">
        <v>56</v>
      </c>
      <c r="C27" s="43">
        <v>0</v>
      </c>
      <c r="D27" s="43">
        <v>0</v>
      </c>
      <c r="E27" s="43">
        <v>0</v>
      </c>
      <c r="F27" s="43">
        <v>0</v>
      </c>
      <c r="G27" s="43">
        <v>0</v>
      </c>
      <c r="H27" s="43">
        <v>0</v>
      </c>
      <c r="I27" s="43">
        <v>0</v>
      </c>
      <c r="J27" s="43">
        <v>0</v>
      </c>
      <c r="K27" s="43">
        <v>0</v>
      </c>
      <c r="L27" s="43">
        <v>0</v>
      </c>
      <c r="M27" s="43">
        <v>0</v>
      </c>
      <c r="N27" s="43">
        <v>0</v>
      </c>
      <c r="O27" s="43">
        <v>0</v>
      </c>
      <c r="P27" s="43">
        <v>0</v>
      </c>
      <c r="Q27" s="43">
        <v>0</v>
      </c>
      <c r="R27" s="46">
        <f t="shared" ref="R27:R33" si="6">SUM(D27:G27)</f>
        <v>0</v>
      </c>
      <c r="S27" s="43">
        <f t="shared" ref="S27:S33" si="7">SUM(H27:O27)+(0+0)</f>
        <v>0</v>
      </c>
      <c r="T27" s="46">
        <f t="shared" ref="T27:T33" si="8">(($T$2-D27-E27-F27-G27)/$T$2)</f>
        <v>1</v>
      </c>
      <c r="U27" s="43" t="s">
        <v>57</v>
      </c>
      <c r="V27" s="43">
        <f t="shared" ref="V27:V33" si="9">($T$2-SUM(D27:O27))/$T$2</f>
        <v>1</v>
      </c>
    </row>
    <row r="28" spans="1:22" s="43" customFormat="1" x14ac:dyDescent="0.2">
      <c r="A28" s="43" t="s">
        <v>58</v>
      </c>
      <c r="B28" s="43" t="s">
        <v>56</v>
      </c>
      <c r="C28" s="43">
        <v>0</v>
      </c>
      <c r="D28" s="43">
        <v>0</v>
      </c>
      <c r="E28" s="43">
        <v>0</v>
      </c>
      <c r="F28" s="43">
        <v>0</v>
      </c>
      <c r="G28" s="43">
        <v>0</v>
      </c>
      <c r="H28" s="43">
        <v>0</v>
      </c>
      <c r="I28" s="43">
        <v>0</v>
      </c>
      <c r="J28" s="43">
        <v>0</v>
      </c>
      <c r="K28" s="43">
        <v>0</v>
      </c>
      <c r="L28" s="43">
        <v>0</v>
      </c>
      <c r="M28" s="43">
        <v>0</v>
      </c>
      <c r="N28" s="43">
        <v>0</v>
      </c>
      <c r="O28" s="43">
        <v>0</v>
      </c>
      <c r="P28" s="43">
        <v>0</v>
      </c>
      <c r="Q28" s="43">
        <v>0</v>
      </c>
      <c r="R28" s="46">
        <f t="shared" si="6"/>
        <v>0</v>
      </c>
      <c r="S28" s="43">
        <f t="shared" si="7"/>
        <v>0</v>
      </c>
      <c r="T28" s="46">
        <f t="shared" si="8"/>
        <v>1</v>
      </c>
      <c r="U28" s="43" t="s">
        <v>57</v>
      </c>
      <c r="V28" s="43">
        <f t="shared" si="9"/>
        <v>1</v>
      </c>
    </row>
    <row r="29" spans="1:22" s="43" customFormat="1" x14ac:dyDescent="0.2">
      <c r="A29" s="43" t="s">
        <v>59</v>
      </c>
      <c r="B29" s="43" t="s">
        <v>56</v>
      </c>
      <c r="C29" s="43">
        <v>0</v>
      </c>
      <c r="D29" s="43">
        <v>0</v>
      </c>
      <c r="E29" s="43">
        <v>0</v>
      </c>
      <c r="F29" s="43">
        <v>0</v>
      </c>
      <c r="G29" s="43">
        <v>0</v>
      </c>
      <c r="H29" s="43">
        <v>0</v>
      </c>
      <c r="I29" s="43">
        <v>0</v>
      </c>
      <c r="J29" s="43">
        <v>0</v>
      </c>
      <c r="K29" s="43">
        <v>0</v>
      </c>
      <c r="L29" s="43">
        <v>0</v>
      </c>
      <c r="M29" s="43">
        <v>0</v>
      </c>
      <c r="N29" s="43">
        <v>0</v>
      </c>
      <c r="O29" s="43">
        <v>0</v>
      </c>
      <c r="P29" s="43">
        <v>0</v>
      </c>
      <c r="Q29" s="43">
        <v>0</v>
      </c>
      <c r="R29" s="46">
        <f t="shared" si="6"/>
        <v>0</v>
      </c>
      <c r="S29" s="43">
        <f t="shared" si="7"/>
        <v>0</v>
      </c>
      <c r="T29" s="46">
        <f t="shared" si="8"/>
        <v>1</v>
      </c>
      <c r="U29" s="43" t="s">
        <v>57</v>
      </c>
      <c r="V29" s="43">
        <f t="shared" si="9"/>
        <v>1</v>
      </c>
    </row>
    <row r="30" spans="1:22" s="43" customFormat="1" x14ac:dyDescent="0.2">
      <c r="A30" s="43" t="s">
        <v>60</v>
      </c>
      <c r="B30" s="43" t="s">
        <v>56</v>
      </c>
      <c r="C30" s="43">
        <v>0</v>
      </c>
      <c r="D30" s="43">
        <v>0</v>
      </c>
      <c r="E30" s="43">
        <v>0</v>
      </c>
      <c r="F30" s="43">
        <v>0</v>
      </c>
      <c r="G30" s="43">
        <v>0</v>
      </c>
      <c r="H30" s="43">
        <v>0</v>
      </c>
      <c r="I30" s="43">
        <v>0</v>
      </c>
      <c r="J30" s="43">
        <v>0</v>
      </c>
      <c r="K30" s="43">
        <v>0</v>
      </c>
      <c r="L30" s="43">
        <v>0</v>
      </c>
      <c r="M30" s="43">
        <v>0</v>
      </c>
      <c r="N30" s="43">
        <v>0</v>
      </c>
      <c r="O30" s="43">
        <v>0</v>
      </c>
      <c r="P30" s="43">
        <v>0</v>
      </c>
      <c r="Q30" s="43">
        <v>0</v>
      </c>
      <c r="R30" s="46">
        <f t="shared" si="6"/>
        <v>0</v>
      </c>
      <c r="S30" s="43">
        <f t="shared" si="7"/>
        <v>0</v>
      </c>
      <c r="T30" s="46">
        <f t="shared" si="8"/>
        <v>1</v>
      </c>
      <c r="U30" s="43" t="s">
        <v>57</v>
      </c>
      <c r="V30" s="43">
        <f t="shared" si="9"/>
        <v>1</v>
      </c>
    </row>
    <row r="31" spans="1:22" s="43" customFormat="1" x14ac:dyDescent="0.2">
      <c r="A31" s="43" t="s">
        <v>61</v>
      </c>
      <c r="B31" s="43" t="s">
        <v>62</v>
      </c>
      <c r="C31" s="43">
        <v>0</v>
      </c>
      <c r="D31" s="43">
        <v>0</v>
      </c>
      <c r="E31" s="43">
        <v>0</v>
      </c>
      <c r="F31" s="43">
        <v>0</v>
      </c>
      <c r="G31" s="43">
        <v>0</v>
      </c>
      <c r="H31" s="43">
        <v>0</v>
      </c>
      <c r="I31" s="43">
        <v>0</v>
      </c>
      <c r="J31" s="43">
        <v>0</v>
      </c>
      <c r="K31" s="43">
        <v>0</v>
      </c>
      <c r="L31" s="43">
        <v>0</v>
      </c>
      <c r="M31" s="43">
        <v>0</v>
      </c>
      <c r="N31" s="43">
        <v>0</v>
      </c>
      <c r="O31" s="43">
        <v>0</v>
      </c>
      <c r="P31" s="43">
        <v>0</v>
      </c>
      <c r="Q31" s="43">
        <v>0</v>
      </c>
      <c r="R31" s="46">
        <f t="shared" si="6"/>
        <v>0</v>
      </c>
      <c r="S31" s="43">
        <f t="shared" si="7"/>
        <v>0</v>
      </c>
      <c r="T31" s="46">
        <f t="shared" si="8"/>
        <v>1</v>
      </c>
      <c r="U31" s="43" t="s">
        <v>57</v>
      </c>
      <c r="V31" s="43">
        <f t="shared" si="9"/>
        <v>1</v>
      </c>
    </row>
    <row r="32" spans="1:22" s="43" customFormat="1" x14ac:dyDescent="0.2">
      <c r="A32" s="43" t="s">
        <v>63</v>
      </c>
      <c r="B32" s="43" t="s">
        <v>64</v>
      </c>
      <c r="C32" s="43">
        <v>0</v>
      </c>
      <c r="D32" s="43">
        <v>0</v>
      </c>
      <c r="E32" s="43">
        <v>0</v>
      </c>
      <c r="F32" s="43">
        <v>0</v>
      </c>
      <c r="G32" s="43">
        <v>0</v>
      </c>
      <c r="H32" s="43">
        <v>0</v>
      </c>
      <c r="I32" s="43">
        <v>0</v>
      </c>
      <c r="J32" s="43">
        <v>0</v>
      </c>
      <c r="K32" s="43">
        <v>0</v>
      </c>
      <c r="L32" s="43">
        <v>0</v>
      </c>
      <c r="M32" s="43">
        <v>0</v>
      </c>
      <c r="N32" s="43">
        <v>0</v>
      </c>
      <c r="O32" s="43">
        <v>0</v>
      </c>
      <c r="P32" s="43">
        <v>0</v>
      </c>
      <c r="Q32" s="43">
        <v>0</v>
      </c>
      <c r="R32" s="46">
        <f t="shared" si="6"/>
        <v>0</v>
      </c>
      <c r="S32" s="43">
        <f t="shared" si="7"/>
        <v>0</v>
      </c>
      <c r="T32" s="46">
        <f t="shared" si="8"/>
        <v>1</v>
      </c>
      <c r="U32" s="43" t="s">
        <v>57</v>
      </c>
      <c r="V32" s="43">
        <f t="shared" si="9"/>
        <v>1</v>
      </c>
    </row>
    <row r="33" spans="1:22" s="43" customFormat="1" x14ac:dyDescent="0.2">
      <c r="A33" s="43" t="s">
        <v>65</v>
      </c>
      <c r="B33" s="43" t="s">
        <v>66</v>
      </c>
      <c r="C33" s="43">
        <v>0</v>
      </c>
      <c r="D33" s="43">
        <v>0</v>
      </c>
      <c r="E33" s="43">
        <v>0</v>
      </c>
      <c r="F33" s="43">
        <v>0</v>
      </c>
      <c r="G33" s="43">
        <v>0</v>
      </c>
      <c r="H33" s="43">
        <v>0</v>
      </c>
      <c r="I33" s="43">
        <v>0</v>
      </c>
      <c r="J33" s="43">
        <v>0</v>
      </c>
      <c r="K33" s="43">
        <v>0</v>
      </c>
      <c r="L33" s="43">
        <v>0</v>
      </c>
      <c r="M33" s="43">
        <v>0</v>
      </c>
      <c r="N33" s="43">
        <v>0</v>
      </c>
      <c r="O33" s="43">
        <v>0</v>
      </c>
      <c r="P33" s="43">
        <v>0</v>
      </c>
      <c r="Q33" s="43">
        <v>0</v>
      </c>
      <c r="R33" s="46">
        <f t="shared" si="6"/>
        <v>0</v>
      </c>
      <c r="S33" s="43">
        <f t="shared" si="7"/>
        <v>0</v>
      </c>
      <c r="T33" s="46">
        <f t="shared" si="8"/>
        <v>1</v>
      </c>
      <c r="U33" s="43" t="s">
        <v>57</v>
      </c>
      <c r="V33" s="43">
        <f t="shared" si="9"/>
        <v>1</v>
      </c>
    </row>
    <row r="34" spans="1:22" s="43" customFormat="1" x14ac:dyDescent="0.2">
      <c r="A34" s="45" t="s">
        <v>67</v>
      </c>
      <c r="B34" s="45"/>
      <c r="C34" s="45">
        <f t="shared" ref="C34:Q34" si="10">SUM(C27:C33)</f>
        <v>0</v>
      </c>
      <c r="D34" s="45">
        <f t="shared" si="10"/>
        <v>0</v>
      </c>
      <c r="E34" s="45">
        <f t="shared" si="10"/>
        <v>0</v>
      </c>
      <c r="F34" s="45">
        <f t="shared" si="10"/>
        <v>0</v>
      </c>
      <c r="G34" s="45">
        <f t="shared" si="10"/>
        <v>0</v>
      </c>
      <c r="H34" s="45">
        <f t="shared" si="10"/>
        <v>0</v>
      </c>
      <c r="I34" s="45">
        <f t="shared" si="10"/>
        <v>0</v>
      </c>
      <c r="J34" s="45">
        <f t="shared" si="10"/>
        <v>0</v>
      </c>
      <c r="K34" s="45">
        <f t="shared" si="10"/>
        <v>0</v>
      </c>
      <c r="L34" s="45">
        <f t="shared" si="10"/>
        <v>0</v>
      </c>
      <c r="M34" s="45">
        <f t="shared" si="10"/>
        <v>0</v>
      </c>
      <c r="N34" s="45">
        <f t="shared" si="10"/>
        <v>0</v>
      </c>
      <c r="O34" s="45">
        <f t="shared" si="10"/>
        <v>0</v>
      </c>
      <c r="P34" s="45">
        <f t="shared" si="10"/>
        <v>0</v>
      </c>
      <c r="Q34" s="45">
        <f t="shared" si="10"/>
        <v>0</v>
      </c>
      <c r="R34" s="47">
        <f>AVERAGE(R27:R33)</f>
        <v>0</v>
      </c>
      <c r="S34" s="45"/>
      <c r="T34" s="47">
        <f>AVERAGE(T27:T33)</f>
        <v>1</v>
      </c>
      <c r="U34" s="45"/>
      <c r="V34" s="45"/>
    </row>
    <row r="35" spans="1:22" s="43" customFormat="1" x14ac:dyDescent="0.2">
      <c r="A35" s="45" t="s">
        <v>68</v>
      </c>
      <c r="B35" s="45"/>
      <c r="C35" s="45">
        <f t="shared" ref="C35:S35" si="11">SUM(C20,C26,C34)</f>
        <v>0</v>
      </c>
      <c r="D35" s="45">
        <f t="shared" si="11"/>
        <v>48.5</v>
      </c>
      <c r="E35" s="45">
        <f t="shared" si="11"/>
        <v>0</v>
      </c>
      <c r="F35" s="45">
        <f t="shared" si="11"/>
        <v>0</v>
      </c>
      <c r="G35" s="45">
        <f t="shared" si="11"/>
        <v>0</v>
      </c>
      <c r="H35" s="45">
        <f t="shared" si="11"/>
        <v>0</v>
      </c>
      <c r="I35" s="45">
        <f t="shared" si="11"/>
        <v>0</v>
      </c>
      <c r="J35" s="45">
        <f t="shared" si="11"/>
        <v>0</v>
      </c>
      <c r="K35" s="45">
        <f t="shared" si="11"/>
        <v>0</v>
      </c>
      <c r="L35" s="45">
        <f t="shared" si="11"/>
        <v>0</v>
      </c>
      <c r="M35" s="45">
        <f t="shared" si="11"/>
        <v>0</v>
      </c>
      <c r="N35" s="45">
        <f t="shared" si="11"/>
        <v>0</v>
      </c>
      <c r="O35" s="45">
        <f t="shared" si="11"/>
        <v>0</v>
      </c>
      <c r="P35" s="45">
        <f t="shared" si="11"/>
        <v>-4.333333333333333</v>
      </c>
      <c r="Q35" s="45">
        <f t="shared" si="11"/>
        <v>-20.666666666666664</v>
      </c>
      <c r="R35" s="47">
        <f t="shared" si="11"/>
        <v>3.7307692307692308</v>
      </c>
      <c r="S35" s="45">
        <f t="shared" si="11"/>
        <v>0</v>
      </c>
      <c r="T35" s="47">
        <f>AVERAGE(T20,T26,T34)</f>
        <v>0.99352297008547019</v>
      </c>
      <c r="U35" s="45" t="s">
        <v>69</v>
      </c>
      <c r="V35" s="45" t="e">
        <f>AVERAGE(V20,V26,V34)</f>
        <v>#DIV/0!</v>
      </c>
    </row>
    <row r="36" spans="1:22" s="43" customFormat="1" x14ac:dyDescent="0.2"/>
    <row r="37" spans="1:22" s="43" customFormat="1" x14ac:dyDescent="0.2"/>
    <row r="38" spans="1:22" s="43" customFormat="1" x14ac:dyDescent="0.2"/>
    <row r="39" spans="1:22" s="43" customFormat="1" x14ac:dyDescent="0.2"/>
    <row r="40" spans="1:22" s="43" customFormat="1" x14ac:dyDescent="0.2"/>
    <row r="41" spans="1:22" s="43" customFormat="1" x14ac:dyDescent="0.2"/>
    <row r="42" spans="1:22" s="43" customFormat="1" x14ac:dyDescent="0.2"/>
    <row r="43" spans="1:22" s="43" customFormat="1" x14ac:dyDescent="0.2"/>
    <row r="44" spans="1:22" s="43" customFormat="1" x14ac:dyDescent="0.2"/>
    <row r="45" spans="1:22" s="43" customFormat="1" x14ac:dyDescent="0.2"/>
    <row r="46" spans="1:22" s="43" customFormat="1" x14ac:dyDescent="0.2"/>
    <row r="47" spans="1:22" s="43" customFormat="1" x14ac:dyDescent="0.2"/>
    <row r="48" spans="1:22" s="43" customFormat="1" x14ac:dyDescent="0.2"/>
    <row r="49" s="43" customFormat="1" x14ac:dyDescent="0.2"/>
    <row r="50" s="43" customFormat="1" x14ac:dyDescent="0.2"/>
    <row r="51" s="43" customFormat="1" x14ac:dyDescent="0.2"/>
    <row r="52" s="43" customFormat="1" x14ac:dyDescent="0.2"/>
    <row r="53" s="43" customFormat="1" x14ac:dyDescent="0.2"/>
    <row r="54" s="43" customFormat="1" x14ac:dyDescent="0.2"/>
    <row r="55" s="43" customFormat="1" x14ac:dyDescent="0.2"/>
    <row r="56" s="43" customFormat="1" x14ac:dyDescent="0.2"/>
    <row r="57" s="43" customFormat="1" x14ac:dyDescent="0.2"/>
    <row r="58" s="43" customFormat="1" x14ac:dyDescent="0.2"/>
    <row r="59" s="43" customFormat="1" x14ac:dyDescent="0.2"/>
    <row r="60" s="43" customFormat="1" x14ac:dyDescent="0.2"/>
    <row r="61" s="43" customFormat="1" x14ac:dyDescent="0.2"/>
    <row r="62" s="43" customFormat="1" x14ac:dyDescent="0.2"/>
    <row r="63" s="43" customFormat="1" x14ac:dyDescent="0.2"/>
    <row r="64" s="43" customFormat="1" x14ac:dyDescent="0.2"/>
    <row r="65" s="43" customFormat="1" x14ac:dyDescent="0.2"/>
    <row r="66" s="43" customFormat="1" x14ac:dyDescent="0.2"/>
    <row r="67" s="43" customFormat="1" x14ac:dyDescent="0.2"/>
    <row r="68" s="43" customFormat="1" x14ac:dyDescent="0.2"/>
    <row r="69" s="43" customFormat="1" x14ac:dyDescent="0.2"/>
    <row r="70" s="43" customFormat="1" x14ac:dyDescent="0.2"/>
    <row r="71" s="43" customFormat="1" x14ac:dyDescent="0.2"/>
    <row r="72" s="43" customFormat="1" x14ac:dyDescent="0.2"/>
    <row r="73" s="43" customFormat="1" x14ac:dyDescent="0.2"/>
    <row r="74" s="43" customFormat="1" x14ac:dyDescent="0.2"/>
    <row r="75" s="43" customFormat="1" x14ac:dyDescent="0.2"/>
    <row r="76" s="43" customFormat="1" x14ac:dyDescent="0.2"/>
    <row r="77" s="43" customFormat="1" x14ac:dyDescent="0.2"/>
    <row r="78" s="43" customFormat="1" x14ac:dyDescent="0.2"/>
    <row r="79" s="43" customFormat="1" x14ac:dyDescent="0.2"/>
    <row r="80" s="43" customFormat="1" x14ac:dyDescent="0.2"/>
    <row r="81" s="43" customFormat="1" x14ac:dyDescent="0.2"/>
    <row r="82" s="43" customFormat="1" x14ac:dyDescent="0.2"/>
    <row r="83" s="43" customFormat="1" x14ac:dyDescent="0.2"/>
    <row r="84" s="43" customFormat="1" x14ac:dyDescent="0.2"/>
    <row r="85" s="43" customFormat="1" x14ac:dyDescent="0.2"/>
    <row r="86" s="43" customFormat="1" x14ac:dyDescent="0.2"/>
    <row r="87" s="43" customFormat="1" x14ac:dyDescent="0.2"/>
    <row r="88" s="43" customFormat="1" x14ac:dyDescent="0.2"/>
    <row r="89" s="43" customFormat="1" x14ac:dyDescent="0.2"/>
    <row r="90" s="43" customFormat="1" x14ac:dyDescent="0.2"/>
    <row r="91" s="43" customFormat="1" x14ac:dyDescent="0.2"/>
    <row r="92" s="43" customFormat="1" x14ac:dyDescent="0.2"/>
    <row r="93" s="43" customFormat="1" x14ac:dyDescent="0.2"/>
    <row r="94" s="43" customFormat="1" x14ac:dyDescent="0.2"/>
    <row r="95" s="43" customFormat="1" x14ac:dyDescent="0.2"/>
    <row r="96" s="43" customFormat="1" x14ac:dyDescent="0.2"/>
    <row r="97" s="43" customFormat="1" x14ac:dyDescent="0.2"/>
    <row r="98" s="43" customFormat="1" x14ac:dyDescent="0.2"/>
    <row r="99" s="43" customFormat="1" x14ac:dyDescent="0.2"/>
    <row r="100" s="43" customFormat="1" x14ac:dyDescent="0.2"/>
    <row r="101" s="43" customFormat="1" x14ac:dyDescent="0.2"/>
    <row r="102" s="43" customFormat="1" x14ac:dyDescent="0.2"/>
    <row r="103" s="43" customFormat="1" x14ac:dyDescent="0.2"/>
    <row r="104" s="43" customFormat="1" x14ac:dyDescent="0.2"/>
    <row r="105" s="43" customFormat="1" x14ac:dyDescent="0.2"/>
    <row r="106" s="43" customFormat="1" x14ac:dyDescent="0.2"/>
    <row r="107" s="43" customFormat="1" x14ac:dyDescent="0.2"/>
    <row r="108" s="43" customFormat="1" x14ac:dyDescent="0.2"/>
    <row r="109" s="43" customFormat="1" x14ac:dyDescent="0.2"/>
    <row r="110" s="43" customFormat="1" x14ac:dyDescent="0.2"/>
    <row r="111" s="43" customFormat="1" x14ac:dyDescent="0.2"/>
    <row r="112" s="43" customFormat="1" x14ac:dyDescent="0.2"/>
    <row r="113" s="43" customFormat="1" x14ac:dyDescent="0.2"/>
    <row r="114" s="43" customFormat="1" x14ac:dyDescent="0.2"/>
    <row r="115" s="43" customFormat="1" x14ac:dyDescent="0.2"/>
    <row r="116" s="43" customFormat="1" x14ac:dyDescent="0.2"/>
    <row r="117" s="43" customFormat="1" x14ac:dyDescent="0.2"/>
    <row r="118" s="43" customFormat="1" x14ac:dyDescent="0.2"/>
    <row r="119" s="43" customFormat="1" x14ac:dyDescent="0.2"/>
    <row r="120" s="43" customFormat="1" x14ac:dyDescent="0.2"/>
    <row r="121" s="43" customFormat="1" x14ac:dyDescent="0.2"/>
    <row r="122" s="43" customFormat="1" x14ac:dyDescent="0.2"/>
    <row r="123" s="43" customFormat="1" x14ac:dyDescent="0.2"/>
    <row r="124" s="43" customFormat="1" x14ac:dyDescent="0.2"/>
    <row r="125" s="43" customFormat="1" x14ac:dyDescent="0.2"/>
    <row r="126" s="43" customFormat="1" x14ac:dyDescent="0.2"/>
    <row r="127" s="43" customFormat="1" x14ac:dyDescent="0.2"/>
    <row r="128" s="43" customFormat="1" x14ac:dyDescent="0.2"/>
    <row r="129" s="43" customFormat="1" x14ac:dyDescent="0.2"/>
    <row r="130" s="43" customFormat="1" x14ac:dyDescent="0.2"/>
    <row r="131" s="43" customFormat="1" x14ac:dyDescent="0.2"/>
    <row r="132" s="43" customFormat="1" x14ac:dyDescent="0.2"/>
    <row r="133" s="43" customFormat="1" x14ac:dyDescent="0.2"/>
    <row r="134" s="43" customFormat="1" x14ac:dyDescent="0.2"/>
    <row r="135" s="43" customFormat="1" x14ac:dyDescent="0.2"/>
    <row r="136" s="43" customFormat="1" x14ac:dyDescent="0.2"/>
    <row r="137" s="43" customFormat="1" x14ac:dyDescent="0.2"/>
    <row r="138" s="43" customFormat="1" x14ac:dyDescent="0.2"/>
    <row r="139" s="43" customFormat="1" x14ac:dyDescent="0.2"/>
    <row r="140" s="43" customFormat="1" x14ac:dyDescent="0.2"/>
    <row r="141" s="43" customFormat="1" x14ac:dyDescent="0.2"/>
    <row r="142" s="43" customFormat="1" x14ac:dyDescent="0.2"/>
    <row r="143" s="43" customFormat="1" x14ac:dyDescent="0.2"/>
    <row r="144" s="43" customFormat="1" x14ac:dyDescent="0.2"/>
    <row r="145" s="43" customFormat="1" x14ac:dyDescent="0.2"/>
    <row r="146" s="43" customFormat="1" x14ac:dyDescent="0.2"/>
    <row r="147" s="43" customFormat="1" x14ac:dyDescent="0.2"/>
    <row r="148" s="43" customFormat="1" x14ac:dyDescent="0.2"/>
    <row r="149" s="43" customFormat="1" x14ac:dyDescent="0.2"/>
    <row r="150" s="43" customFormat="1" x14ac:dyDescent="0.2"/>
    <row r="151" s="43" customFormat="1" x14ac:dyDescent="0.2"/>
    <row r="152" s="43" customFormat="1" x14ac:dyDescent="0.2"/>
    <row r="153" s="43" customFormat="1" x14ac:dyDescent="0.2"/>
    <row r="154" s="43" customFormat="1" x14ac:dyDescent="0.2"/>
    <row r="155" s="43" customFormat="1" x14ac:dyDescent="0.2"/>
    <row r="156" s="43" customFormat="1" x14ac:dyDescent="0.2"/>
    <row r="157" s="43" customFormat="1" x14ac:dyDescent="0.2"/>
    <row r="158" s="43" customFormat="1" x14ac:dyDescent="0.2"/>
    <row r="159" s="43" customFormat="1" x14ac:dyDescent="0.2"/>
    <row r="160" s="43" customFormat="1" x14ac:dyDescent="0.2"/>
    <row r="161" s="43" customFormat="1" x14ac:dyDescent="0.2"/>
    <row r="162" s="43" customFormat="1" x14ac:dyDescent="0.2"/>
    <row r="163" s="43" customFormat="1" x14ac:dyDescent="0.2"/>
    <row r="164" s="43" customFormat="1" x14ac:dyDescent="0.2"/>
    <row r="165" s="43" customFormat="1" x14ac:dyDescent="0.2"/>
    <row r="166" s="43" customFormat="1" x14ac:dyDescent="0.2"/>
    <row r="167" s="43" customFormat="1" x14ac:dyDescent="0.2"/>
    <row r="168" s="43" customFormat="1" x14ac:dyDescent="0.2"/>
    <row r="169" s="43" customFormat="1" x14ac:dyDescent="0.2"/>
    <row r="170" s="43" customFormat="1" x14ac:dyDescent="0.2"/>
    <row r="171" s="43" customFormat="1" x14ac:dyDescent="0.2"/>
    <row r="172" s="43" customFormat="1" x14ac:dyDescent="0.2"/>
    <row r="173" s="43" customFormat="1" x14ac:dyDescent="0.2"/>
    <row r="174" s="43" customFormat="1" x14ac:dyDescent="0.2"/>
    <row r="175" s="43" customFormat="1" x14ac:dyDescent="0.2"/>
    <row r="176" s="43" customFormat="1" x14ac:dyDescent="0.2"/>
    <row r="177" s="43" customFormat="1" x14ac:dyDescent="0.2"/>
    <row r="178" s="43" customFormat="1" x14ac:dyDescent="0.2"/>
    <row r="179" s="43" customFormat="1" x14ac:dyDescent="0.2"/>
    <row r="180" s="43" customFormat="1" x14ac:dyDescent="0.2"/>
    <row r="181" s="43" customFormat="1" x14ac:dyDescent="0.2"/>
    <row r="182" s="43" customFormat="1" x14ac:dyDescent="0.2"/>
    <row r="183" s="43" customFormat="1" x14ac:dyDescent="0.2"/>
    <row r="184" s="43" customFormat="1" x14ac:dyDescent="0.2"/>
    <row r="185" s="43" customFormat="1" x14ac:dyDescent="0.2"/>
    <row r="186" s="43" customFormat="1" x14ac:dyDescent="0.2"/>
    <row r="187" s="43" customFormat="1" x14ac:dyDescent="0.2"/>
    <row r="188" s="43" customFormat="1" x14ac:dyDescent="0.2"/>
    <row r="189" s="43" customFormat="1" x14ac:dyDescent="0.2"/>
    <row r="190" s="43" customFormat="1" x14ac:dyDescent="0.2"/>
    <row r="191" s="43" customFormat="1" x14ac:dyDescent="0.2"/>
    <row r="192" s="43" customFormat="1" x14ac:dyDescent="0.2"/>
    <row r="193" s="43" customFormat="1" x14ac:dyDescent="0.2"/>
    <row r="194" s="43" customFormat="1" x14ac:dyDescent="0.2"/>
    <row r="195" s="43" customFormat="1" x14ac:dyDescent="0.2"/>
    <row r="196" s="43" customFormat="1" x14ac:dyDescent="0.2"/>
    <row r="197" s="43" customFormat="1" x14ac:dyDescent="0.2"/>
    <row r="198" s="43" customFormat="1" x14ac:dyDescent="0.2"/>
    <row r="199" s="43" customFormat="1" x14ac:dyDescent="0.2"/>
    <row r="200" s="43" customFormat="1" x14ac:dyDescent="0.2"/>
    <row r="201" s="43" customFormat="1" x14ac:dyDescent="0.2"/>
    <row r="202" s="43" customFormat="1" x14ac:dyDescent="0.2"/>
    <row r="203" s="43" customFormat="1" x14ac:dyDescent="0.2"/>
    <row r="204" s="43" customFormat="1" x14ac:dyDescent="0.2"/>
    <row r="205" s="43" customFormat="1" x14ac:dyDescent="0.2"/>
    <row r="206" s="43" customFormat="1" x14ac:dyDescent="0.2"/>
    <row r="207" s="43" customFormat="1" x14ac:dyDescent="0.2"/>
    <row r="208" s="43" customFormat="1" x14ac:dyDescent="0.2"/>
    <row r="209" s="43" customFormat="1" x14ac:dyDescent="0.2"/>
    <row r="210" s="43" customFormat="1" x14ac:dyDescent="0.2"/>
    <row r="211" s="43" customFormat="1" x14ac:dyDescent="0.2"/>
    <row r="212" s="43" customFormat="1" x14ac:dyDescent="0.2"/>
    <row r="213" s="43" customFormat="1" x14ac:dyDescent="0.2"/>
    <row r="214" s="43" customFormat="1" x14ac:dyDescent="0.2"/>
    <row r="215" s="43" customFormat="1" x14ac:dyDescent="0.2"/>
    <row r="216" s="43" customFormat="1" x14ac:dyDescent="0.2"/>
    <row r="217" s="43" customFormat="1" x14ac:dyDescent="0.2"/>
    <row r="218" s="43" customFormat="1" x14ac:dyDescent="0.2"/>
    <row r="219" s="43" customFormat="1" x14ac:dyDescent="0.2"/>
    <row r="220" s="43" customFormat="1" x14ac:dyDescent="0.2"/>
    <row r="221" s="43" customFormat="1" x14ac:dyDescent="0.2"/>
    <row r="222" s="43" customFormat="1" x14ac:dyDescent="0.2"/>
    <row r="223" s="43" customFormat="1" x14ac:dyDescent="0.2"/>
    <row r="224" s="43" customFormat="1" x14ac:dyDescent="0.2"/>
    <row r="225" s="43" customFormat="1" x14ac:dyDescent="0.2"/>
    <row r="226" s="43" customFormat="1" x14ac:dyDescent="0.2"/>
    <row r="227" s="43" customFormat="1" x14ac:dyDescent="0.2"/>
    <row r="228" s="43" customFormat="1" x14ac:dyDescent="0.2"/>
    <row r="229" s="43" customFormat="1" x14ac:dyDescent="0.2"/>
    <row r="230" s="43" customFormat="1" x14ac:dyDescent="0.2"/>
    <row r="231" s="43" customFormat="1" x14ac:dyDescent="0.2"/>
    <row r="232" s="43" customFormat="1" x14ac:dyDescent="0.2"/>
    <row r="233" s="43" customFormat="1" x14ac:dyDescent="0.2"/>
    <row r="234" s="43" customFormat="1" x14ac:dyDescent="0.2"/>
    <row r="235" s="43" customFormat="1" x14ac:dyDescent="0.2"/>
    <row r="236" s="43" customFormat="1" x14ac:dyDescent="0.2"/>
    <row r="237" s="43" customFormat="1" x14ac:dyDescent="0.2"/>
    <row r="238" s="43" customFormat="1" x14ac:dyDescent="0.2"/>
    <row r="239" s="43" customFormat="1" x14ac:dyDescent="0.2"/>
    <row r="240" s="43" customFormat="1" x14ac:dyDescent="0.2"/>
    <row r="241" s="43" customFormat="1" x14ac:dyDescent="0.2"/>
    <row r="242" s="43" customFormat="1" x14ac:dyDescent="0.2"/>
    <row r="243" s="43" customFormat="1" x14ac:dyDescent="0.2"/>
    <row r="244" s="43" customFormat="1" x14ac:dyDescent="0.2"/>
    <row r="245" s="43" customFormat="1" x14ac:dyDescent="0.2"/>
    <row r="246" s="43" customFormat="1" x14ac:dyDescent="0.2"/>
    <row r="247" s="43" customFormat="1" x14ac:dyDescent="0.2"/>
    <row r="248" s="43" customFormat="1" x14ac:dyDescent="0.2"/>
    <row r="249" s="43" customFormat="1" x14ac:dyDescent="0.2"/>
    <row r="250" s="43" customFormat="1" x14ac:dyDescent="0.2"/>
    <row r="251" s="43" customFormat="1" x14ac:dyDescent="0.2"/>
    <row r="252" s="43" customFormat="1" x14ac:dyDescent="0.2"/>
    <row r="253" s="43" customFormat="1" x14ac:dyDescent="0.2"/>
    <row r="254" s="43" customFormat="1" x14ac:dyDescent="0.2"/>
    <row r="255" s="43" customFormat="1" x14ac:dyDescent="0.2"/>
    <row r="256" s="43" customFormat="1" x14ac:dyDescent="0.2"/>
    <row r="257" s="43" customFormat="1" x14ac:dyDescent="0.2"/>
    <row r="258" s="43" customFormat="1" x14ac:dyDescent="0.2"/>
    <row r="259" s="43" customFormat="1" x14ac:dyDescent="0.2"/>
    <row r="260" s="43" customFormat="1" x14ac:dyDescent="0.2"/>
    <row r="261" s="43" customFormat="1" x14ac:dyDescent="0.2"/>
    <row r="262" s="43" customFormat="1" x14ac:dyDescent="0.2"/>
    <row r="263" s="43" customFormat="1" x14ac:dyDescent="0.2"/>
    <row r="264" s="43" customFormat="1" x14ac:dyDescent="0.2"/>
    <row r="265" s="43" customFormat="1" x14ac:dyDescent="0.2"/>
    <row r="266" s="43" customFormat="1" x14ac:dyDescent="0.2"/>
    <row r="267" s="43" customFormat="1" x14ac:dyDescent="0.2"/>
    <row r="268" s="43" customFormat="1" x14ac:dyDescent="0.2"/>
    <row r="269" s="43" customFormat="1" x14ac:dyDescent="0.2"/>
    <row r="270" s="43" customFormat="1" x14ac:dyDescent="0.2"/>
    <row r="271" s="43" customFormat="1" x14ac:dyDescent="0.2"/>
    <row r="272" s="43" customFormat="1" x14ac:dyDescent="0.2"/>
    <row r="273" s="43" customFormat="1" x14ac:dyDescent="0.2"/>
    <row r="274" s="43" customFormat="1" x14ac:dyDescent="0.2"/>
    <row r="275" s="43" customFormat="1" x14ac:dyDescent="0.2"/>
    <row r="276" s="43" customFormat="1" x14ac:dyDescent="0.2"/>
    <row r="277" s="43" customFormat="1" x14ac:dyDescent="0.2"/>
    <row r="278" s="43" customFormat="1" x14ac:dyDescent="0.2"/>
    <row r="279" s="43" customFormat="1" x14ac:dyDescent="0.2"/>
    <row r="280" s="43" customFormat="1" x14ac:dyDescent="0.2"/>
    <row r="281" s="43" customFormat="1" x14ac:dyDescent="0.2"/>
    <row r="282" s="43" customFormat="1" x14ac:dyDescent="0.2"/>
    <row r="283" s="43" customFormat="1" x14ac:dyDescent="0.2"/>
    <row r="284" s="43" customFormat="1" x14ac:dyDescent="0.2"/>
    <row r="285" s="43" customFormat="1" x14ac:dyDescent="0.2"/>
    <row r="286" s="43" customFormat="1" x14ac:dyDescent="0.2"/>
    <row r="287" s="43" customFormat="1" x14ac:dyDescent="0.2"/>
    <row r="288" s="43" customFormat="1" x14ac:dyDescent="0.2"/>
    <row r="289" s="43" customFormat="1" x14ac:dyDescent="0.2"/>
    <row r="290" s="43" customFormat="1" x14ac:dyDescent="0.2"/>
    <row r="291" s="43" customFormat="1" x14ac:dyDescent="0.2"/>
    <row r="292" s="43" customFormat="1" x14ac:dyDescent="0.2"/>
    <row r="293" s="43" customFormat="1" x14ac:dyDescent="0.2"/>
    <row r="294" s="43" customFormat="1" x14ac:dyDescent="0.2"/>
    <row r="295" s="43" customFormat="1" x14ac:dyDescent="0.2"/>
    <row r="296" s="43" customFormat="1" x14ac:dyDescent="0.2"/>
    <row r="297" s="43" customFormat="1" x14ac:dyDescent="0.2"/>
    <row r="298" s="43" customFormat="1" x14ac:dyDescent="0.2"/>
    <row r="299" s="43" customFormat="1" x14ac:dyDescent="0.2"/>
    <row r="300" s="43" customFormat="1" x14ac:dyDescent="0.2"/>
    <row r="301" s="43" customFormat="1" x14ac:dyDescent="0.2"/>
    <row r="302" s="43" customFormat="1" x14ac:dyDescent="0.2"/>
    <row r="303" s="43" customFormat="1" x14ac:dyDescent="0.2"/>
    <row r="304" s="43" customFormat="1" x14ac:dyDescent="0.2"/>
    <row r="305" s="43" customFormat="1" x14ac:dyDescent="0.2"/>
    <row r="306" s="43" customFormat="1" x14ac:dyDescent="0.2"/>
    <row r="307" s="43" customFormat="1" x14ac:dyDescent="0.2"/>
    <row r="308" s="43" customFormat="1" x14ac:dyDescent="0.2"/>
    <row r="309" s="43" customFormat="1" x14ac:dyDescent="0.2"/>
    <row r="310" s="43" customFormat="1" x14ac:dyDescent="0.2"/>
    <row r="311" s="43" customFormat="1" x14ac:dyDescent="0.2"/>
    <row r="312" s="43" customFormat="1" x14ac:dyDescent="0.2"/>
    <row r="313" s="43" customFormat="1" x14ac:dyDescent="0.2"/>
    <row r="314" s="43" customFormat="1" x14ac:dyDescent="0.2"/>
    <row r="315" s="43" customFormat="1" x14ac:dyDescent="0.2"/>
    <row r="316" s="43" customFormat="1" x14ac:dyDescent="0.2"/>
    <row r="317" s="43" customFormat="1" x14ac:dyDescent="0.2"/>
    <row r="318" s="43" customFormat="1" x14ac:dyDescent="0.2"/>
    <row r="319" s="43" customFormat="1" x14ac:dyDescent="0.2"/>
    <row r="320" s="43" customFormat="1" x14ac:dyDescent="0.2"/>
    <row r="321" s="43" customFormat="1" x14ac:dyDescent="0.2"/>
    <row r="322" s="43" customFormat="1" x14ac:dyDescent="0.2"/>
    <row r="323" s="43" customFormat="1" x14ac:dyDescent="0.2"/>
    <row r="324" s="43" customFormat="1" x14ac:dyDescent="0.2"/>
    <row r="325" s="43" customFormat="1" x14ac:dyDescent="0.2"/>
    <row r="326" s="43" customFormat="1" x14ac:dyDescent="0.2"/>
    <row r="327" s="43" customFormat="1" x14ac:dyDescent="0.2"/>
    <row r="328" s="43" customFormat="1" x14ac:dyDescent="0.2"/>
    <row r="329" s="43" customFormat="1" x14ac:dyDescent="0.2"/>
    <row r="330" s="43" customFormat="1" x14ac:dyDescent="0.2"/>
    <row r="331" s="43" customFormat="1" x14ac:dyDescent="0.2"/>
    <row r="332" s="43" customFormat="1" x14ac:dyDescent="0.2"/>
    <row r="333" s="43" customFormat="1" x14ac:dyDescent="0.2"/>
    <row r="334" s="43" customFormat="1" x14ac:dyDescent="0.2"/>
    <row r="335" s="43" customFormat="1" x14ac:dyDescent="0.2"/>
    <row r="336" s="43" customFormat="1" x14ac:dyDescent="0.2"/>
    <row r="337" s="43" customFormat="1" x14ac:dyDescent="0.2"/>
    <row r="338" s="43" customFormat="1" x14ac:dyDescent="0.2"/>
    <row r="339" s="43" customFormat="1" x14ac:dyDescent="0.2"/>
    <row r="340" s="43" customFormat="1" x14ac:dyDescent="0.2"/>
    <row r="341" s="43" customFormat="1" x14ac:dyDescent="0.2"/>
    <row r="342" s="43" customFormat="1" x14ac:dyDescent="0.2"/>
    <row r="343" s="43" customFormat="1" x14ac:dyDescent="0.2"/>
    <row r="344" s="43" customFormat="1" x14ac:dyDescent="0.2"/>
    <row r="345" s="43" customFormat="1" x14ac:dyDescent="0.2"/>
    <row r="346" s="43" customFormat="1" x14ac:dyDescent="0.2"/>
    <row r="347" s="43" customFormat="1" x14ac:dyDescent="0.2"/>
    <row r="348" s="43" customFormat="1" x14ac:dyDescent="0.2"/>
    <row r="349" s="43" customFormat="1" x14ac:dyDescent="0.2"/>
    <row r="350" s="43" customFormat="1" x14ac:dyDescent="0.2"/>
    <row r="351" s="43" customFormat="1" x14ac:dyDescent="0.2"/>
    <row r="352" s="43" customFormat="1" x14ac:dyDescent="0.2"/>
    <row r="353" s="43" customFormat="1" x14ac:dyDescent="0.2"/>
    <row r="354" s="43" customFormat="1" x14ac:dyDescent="0.2"/>
    <row r="355" s="43" customFormat="1" x14ac:dyDescent="0.2"/>
    <row r="356" s="43" customFormat="1" x14ac:dyDescent="0.2"/>
    <row r="357" s="43" customFormat="1" x14ac:dyDescent="0.2"/>
    <row r="358" s="43" customFormat="1" x14ac:dyDescent="0.2"/>
    <row r="359" s="43" customFormat="1" x14ac:dyDescent="0.2"/>
    <row r="360" s="43" customFormat="1" x14ac:dyDescent="0.2"/>
    <row r="361" s="43" customFormat="1" x14ac:dyDescent="0.2"/>
    <row r="362" s="43" customFormat="1" x14ac:dyDescent="0.2"/>
    <row r="363" s="43" customFormat="1" x14ac:dyDescent="0.2"/>
    <row r="364" s="43" customFormat="1" x14ac:dyDescent="0.2"/>
    <row r="365" s="43" customFormat="1" x14ac:dyDescent="0.2"/>
    <row r="366" s="43" customFormat="1" x14ac:dyDescent="0.2"/>
    <row r="367" s="43" customFormat="1" x14ac:dyDescent="0.2"/>
    <row r="368" s="43" customFormat="1" x14ac:dyDescent="0.2"/>
    <row r="369" s="43" customFormat="1" x14ac:dyDescent="0.2"/>
    <row r="370" s="43" customFormat="1" x14ac:dyDescent="0.2"/>
    <row r="371" s="43" customFormat="1" x14ac:dyDescent="0.2"/>
    <row r="372" s="43" customFormat="1" x14ac:dyDescent="0.2"/>
    <row r="373" s="43" customFormat="1" x14ac:dyDescent="0.2"/>
    <row r="374" s="43" customFormat="1" x14ac:dyDescent="0.2"/>
    <row r="375" s="43" customFormat="1" x14ac:dyDescent="0.2"/>
    <row r="376" s="43" customFormat="1" x14ac:dyDescent="0.2"/>
    <row r="377" s="43" customFormat="1" x14ac:dyDescent="0.2"/>
    <row r="378" s="43" customFormat="1" x14ac:dyDescent="0.2"/>
    <row r="379" s="43" customFormat="1" x14ac:dyDescent="0.2"/>
    <row r="380" s="43" customFormat="1" x14ac:dyDescent="0.2"/>
    <row r="381" s="43" customFormat="1" x14ac:dyDescent="0.2"/>
    <row r="382" s="43" customFormat="1" x14ac:dyDescent="0.2"/>
    <row r="383" s="43" customFormat="1" x14ac:dyDescent="0.2"/>
    <row r="384" s="43" customFormat="1" x14ac:dyDescent="0.2"/>
    <row r="385" s="43" customFormat="1" x14ac:dyDescent="0.2"/>
    <row r="386" s="43" customFormat="1" x14ac:dyDescent="0.2"/>
    <row r="387" s="43" customFormat="1" x14ac:dyDescent="0.2"/>
    <row r="388" s="43" customFormat="1" x14ac:dyDescent="0.2"/>
    <row r="389" s="43" customFormat="1" x14ac:dyDescent="0.2"/>
    <row r="390" s="43" customFormat="1" x14ac:dyDescent="0.2"/>
    <row r="391" s="43" customFormat="1" x14ac:dyDescent="0.2"/>
    <row r="392" s="43" customFormat="1" x14ac:dyDescent="0.2"/>
    <row r="393" s="43" customFormat="1" x14ac:dyDescent="0.2"/>
    <row r="394" s="43" customFormat="1" x14ac:dyDescent="0.2"/>
    <row r="395" s="43" customFormat="1" x14ac:dyDescent="0.2"/>
    <row r="396" s="43" customFormat="1" x14ac:dyDescent="0.2"/>
    <row r="397" s="43" customFormat="1" x14ac:dyDescent="0.2"/>
    <row r="398" s="43" customFormat="1" x14ac:dyDescent="0.2"/>
    <row r="399" s="43" customFormat="1" x14ac:dyDescent="0.2"/>
    <row r="400" s="43" customFormat="1" x14ac:dyDescent="0.2"/>
    <row r="401" s="43" customFormat="1" x14ac:dyDescent="0.2"/>
    <row r="402" s="43" customFormat="1" x14ac:dyDescent="0.2"/>
    <row r="403" s="43" customFormat="1" x14ac:dyDescent="0.2"/>
    <row r="404" s="43" customFormat="1" x14ac:dyDescent="0.2"/>
    <row r="405" s="43" customFormat="1" x14ac:dyDescent="0.2"/>
    <row r="406" s="43" customFormat="1" x14ac:dyDescent="0.2"/>
    <row r="407" s="43" customFormat="1" x14ac:dyDescent="0.2"/>
    <row r="408" s="43" customFormat="1" x14ac:dyDescent="0.2"/>
    <row r="409" s="43" customFormat="1" x14ac:dyDescent="0.2"/>
    <row r="410" s="43" customFormat="1" x14ac:dyDescent="0.2"/>
    <row r="411" s="43" customFormat="1" x14ac:dyDescent="0.2"/>
    <row r="412" s="43" customFormat="1" x14ac:dyDescent="0.2"/>
    <row r="413" s="43" customFormat="1" x14ac:dyDescent="0.2"/>
    <row r="414" s="43" customFormat="1" x14ac:dyDescent="0.2"/>
    <row r="415" s="43" customFormat="1" x14ac:dyDescent="0.2"/>
    <row r="416" s="43" customFormat="1" x14ac:dyDescent="0.2"/>
    <row r="417" s="43" customFormat="1" x14ac:dyDescent="0.2"/>
    <row r="418" s="43" customFormat="1" x14ac:dyDescent="0.2"/>
    <row r="419" s="43" customFormat="1" x14ac:dyDescent="0.2"/>
    <row r="420" s="43" customFormat="1" x14ac:dyDescent="0.2"/>
    <row r="421" s="43" customFormat="1" x14ac:dyDescent="0.2"/>
    <row r="422" s="43" customFormat="1" x14ac:dyDescent="0.2"/>
    <row r="423" s="43" customFormat="1" x14ac:dyDescent="0.2"/>
    <row r="424" s="43" customFormat="1" x14ac:dyDescent="0.2"/>
    <row r="425" s="43" customFormat="1" x14ac:dyDescent="0.2"/>
    <row r="426" s="43" customFormat="1" x14ac:dyDescent="0.2"/>
    <row r="427" s="43" customFormat="1" x14ac:dyDescent="0.2"/>
    <row r="428" s="43" customFormat="1" x14ac:dyDescent="0.2"/>
    <row r="429" s="43" customFormat="1" x14ac:dyDescent="0.2"/>
    <row r="430" s="43" customFormat="1" x14ac:dyDescent="0.2"/>
    <row r="431" s="43" customFormat="1" x14ac:dyDescent="0.2"/>
    <row r="432" s="43" customFormat="1" x14ac:dyDescent="0.2"/>
    <row r="433" s="43" customFormat="1" x14ac:dyDescent="0.2"/>
    <row r="434" s="43" customFormat="1" x14ac:dyDescent="0.2"/>
    <row r="435" s="43" customFormat="1" x14ac:dyDescent="0.2"/>
    <row r="436" s="43" customFormat="1" x14ac:dyDescent="0.2"/>
    <row r="437" s="43" customFormat="1" x14ac:dyDescent="0.2"/>
    <row r="438" s="43" customFormat="1" x14ac:dyDescent="0.2"/>
    <row r="439" s="43" customFormat="1" x14ac:dyDescent="0.2"/>
    <row r="440" s="43" customFormat="1" x14ac:dyDescent="0.2"/>
    <row r="441" s="43" customFormat="1" x14ac:dyDescent="0.2"/>
    <row r="442" s="43" customFormat="1" x14ac:dyDescent="0.2"/>
    <row r="443" s="43" customFormat="1" x14ac:dyDescent="0.2"/>
    <row r="444" s="43" customFormat="1" x14ac:dyDescent="0.2"/>
    <row r="445" s="43" customFormat="1" x14ac:dyDescent="0.2"/>
    <row r="446" s="43" customFormat="1" x14ac:dyDescent="0.2"/>
    <row r="447" s="43" customFormat="1" x14ac:dyDescent="0.2"/>
    <row r="448" s="43" customFormat="1" x14ac:dyDescent="0.2"/>
    <row r="449" s="43" customFormat="1" x14ac:dyDescent="0.2"/>
    <row r="450" s="43" customFormat="1" x14ac:dyDescent="0.2"/>
    <row r="451" s="43" customFormat="1" x14ac:dyDescent="0.2"/>
    <row r="452" s="43" customFormat="1" x14ac:dyDescent="0.2"/>
    <row r="453" s="43" customFormat="1" x14ac:dyDescent="0.2"/>
    <row r="454" s="43" customFormat="1" x14ac:dyDescent="0.2"/>
    <row r="455" s="43" customFormat="1" x14ac:dyDescent="0.2"/>
    <row r="456" s="43" customFormat="1" x14ac:dyDescent="0.2"/>
    <row r="457" s="43" customFormat="1" x14ac:dyDescent="0.2"/>
    <row r="458" s="43" customFormat="1" x14ac:dyDescent="0.2"/>
    <row r="459" s="43" customFormat="1" x14ac:dyDescent="0.2"/>
    <row r="460" s="43" customFormat="1" x14ac:dyDescent="0.2"/>
    <row r="461" s="43" customFormat="1" x14ac:dyDescent="0.2"/>
    <row r="462" s="43" customFormat="1" x14ac:dyDescent="0.2"/>
    <row r="463" s="43" customFormat="1" x14ac:dyDescent="0.2"/>
    <row r="464" s="43" customFormat="1" x14ac:dyDescent="0.2"/>
    <row r="465" s="43" customFormat="1" x14ac:dyDescent="0.2"/>
    <row r="466" s="43" customFormat="1" x14ac:dyDescent="0.2"/>
    <row r="467" s="43" customFormat="1" x14ac:dyDescent="0.2"/>
    <row r="468" s="43" customFormat="1" x14ac:dyDescent="0.2"/>
    <row r="469" s="43" customFormat="1" x14ac:dyDescent="0.2"/>
    <row r="470" s="43" customFormat="1" x14ac:dyDescent="0.2"/>
    <row r="471" s="43" customFormat="1" x14ac:dyDescent="0.2"/>
    <row r="472" s="43" customFormat="1" x14ac:dyDescent="0.2"/>
    <row r="473" s="43" customFormat="1" x14ac:dyDescent="0.2"/>
    <row r="474" s="43" customFormat="1" x14ac:dyDescent="0.2"/>
    <row r="475" s="43" customFormat="1" x14ac:dyDescent="0.2"/>
    <row r="476" s="43" customFormat="1" x14ac:dyDescent="0.2"/>
    <row r="477" s="43" customFormat="1" x14ac:dyDescent="0.2"/>
    <row r="478" s="43" customFormat="1" x14ac:dyDescent="0.2"/>
    <row r="479" s="43" customFormat="1" x14ac:dyDescent="0.2"/>
    <row r="480" s="43" customFormat="1" x14ac:dyDescent="0.2"/>
    <row r="481" s="43" customFormat="1" x14ac:dyDescent="0.2"/>
    <row r="482" s="43" customFormat="1" x14ac:dyDescent="0.2"/>
    <row r="483" s="43" customFormat="1" x14ac:dyDescent="0.2"/>
    <row r="484" s="43" customFormat="1" x14ac:dyDescent="0.2"/>
    <row r="485" s="43" customFormat="1" x14ac:dyDescent="0.2"/>
    <row r="486" s="43" customFormat="1" x14ac:dyDescent="0.2"/>
    <row r="487" s="43" customFormat="1" x14ac:dyDescent="0.2"/>
    <row r="488" s="43" customFormat="1" x14ac:dyDescent="0.2"/>
    <row r="489" s="43" customFormat="1" x14ac:dyDescent="0.2"/>
    <row r="490" s="43" customFormat="1" x14ac:dyDescent="0.2"/>
    <row r="491" s="43" customFormat="1" x14ac:dyDescent="0.2"/>
    <row r="492" s="43" customFormat="1" x14ac:dyDescent="0.2"/>
    <row r="493" s="43" customFormat="1" x14ac:dyDescent="0.2"/>
    <row r="494" s="43" customFormat="1" x14ac:dyDescent="0.2"/>
    <row r="495" s="43" customFormat="1" x14ac:dyDescent="0.2"/>
    <row r="496" s="43" customFormat="1" x14ac:dyDescent="0.2"/>
    <row r="497" s="43" customFormat="1" x14ac:dyDescent="0.2"/>
    <row r="498" s="43" customFormat="1" x14ac:dyDescent="0.2"/>
    <row r="499" s="43" customFormat="1" x14ac:dyDescent="0.2"/>
    <row r="500" s="43" customFormat="1" x14ac:dyDescent="0.2"/>
    <row r="501" s="43" customFormat="1" x14ac:dyDescent="0.2"/>
    <row r="502" s="43" customFormat="1" x14ac:dyDescent="0.2"/>
    <row r="503" s="43" customFormat="1" x14ac:dyDescent="0.2"/>
    <row r="504" s="43" customFormat="1" x14ac:dyDescent="0.2"/>
    <row r="505" s="43" customFormat="1" x14ac:dyDescent="0.2"/>
    <row r="506" s="43" customFormat="1" x14ac:dyDescent="0.2"/>
    <row r="507" s="43" customFormat="1" x14ac:dyDescent="0.2"/>
    <row r="508" s="43" customFormat="1" x14ac:dyDescent="0.2"/>
    <row r="509" s="43" customFormat="1" x14ac:dyDescent="0.2"/>
    <row r="510" s="43" customFormat="1" x14ac:dyDescent="0.2"/>
    <row r="511" s="43" customFormat="1" x14ac:dyDescent="0.2"/>
    <row r="512" s="43" customFormat="1" x14ac:dyDescent="0.2"/>
    <row r="513" s="43" customFormat="1" x14ac:dyDescent="0.2"/>
    <row r="514" s="43" customFormat="1" x14ac:dyDescent="0.2"/>
    <row r="515" s="43" customFormat="1" x14ac:dyDescent="0.2"/>
    <row r="516" s="43" customFormat="1" x14ac:dyDescent="0.2"/>
    <row r="517" s="43" customFormat="1" x14ac:dyDescent="0.2"/>
    <row r="518" s="43" customFormat="1" x14ac:dyDescent="0.2"/>
    <row r="519" s="43" customFormat="1" x14ac:dyDescent="0.2"/>
    <row r="520" s="43" customFormat="1" x14ac:dyDescent="0.2"/>
    <row r="521" s="43" customFormat="1" x14ac:dyDescent="0.2"/>
    <row r="522" s="43" customFormat="1" x14ac:dyDescent="0.2"/>
    <row r="523" s="43" customFormat="1" x14ac:dyDescent="0.2"/>
    <row r="524" s="43" customFormat="1" x14ac:dyDescent="0.2"/>
    <row r="525" s="43" customFormat="1" x14ac:dyDescent="0.2"/>
    <row r="526" s="43" customFormat="1" x14ac:dyDescent="0.2"/>
    <row r="527" s="43" customFormat="1" x14ac:dyDescent="0.2"/>
    <row r="528" s="43" customFormat="1" x14ac:dyDescent="0.2"/>
    <row r="529" s="43" customFormat="1" x14ac:dyDescent="0.2"/>
    <row r="530" s="43" customFormat="1" x14ac:dyDescent="0.2"/>
    <row r="531" s="43" customFormat="1" x14ac:dyDescent="0.2"/>
    <row r="532" s="43" customFormat="1" x14ac:dyDescent="0.2"/>
    <row r="533" s="43" customFormat="1" x14ac:dyDescent="0.2"/>
    <row r="534" s="43" customFormat="1" x14ac:dyDescent="0.2"/>
    <row r="535" s="43" customFormat="1" x14ac:dyDescent="0.2"/>
    <row r="536" s="43" customFormat="1" x14ac:dyDescent="0.2"/>
    <row r="537" s="43" customFormat="1" x14ac:dyDescent="0.2"/>
    <row r="538" s="43" customFormat="1" x14ac:dyDescent="0.2"/>
    <row r="539" s="43" customFormat="1" x14ac:dyDescent="0.2"/>
    <row r="540" s="43" customFormat="1" x14ac:dyDescent="0.2"/>
    <row r="541" s="43" customFormat="1" x14ac:dyDescent="0.2"/>
    <row r="542" s="43" customFormat="1" x14ac:dyDescent="0.2"/>
    <row r="543" s="43" customFormat="1" x14ac:dyDescent="0.2"/>
    <row r="544" s="43" customFormat="1" x14ac:dyDescent="0.2"/>
    <row r="545" s="43" customFormat="1" x14ac:dyDescent="0.2"/>
    <row r="546" s="43" customFormat="1" x14ac:dyDescent="0.2"/>
    <row r="547" s="43" customFormat="1" x14ac:dyDescent="0.2"/>
    <row r="548" s="43" customFormat="1" x14ac:dyDescent="0.2"/>
    <row r="549" s="43" customFormat="1" x14ac:dyDescent="0.2"/>
    <row r="550" s="43" customFormat="1" x14ac:dyDescent="0.2"/>
    <row r="551" s="43" customFormat="1" x14ac:dyDescent="0.2"/>
    <row r="552" s="43" customFormat="1" x14ac:dyDescent="0.2"/>
    <row r="553" s="43" customFormat="1" x14ac:dyDescent="0.2"/>
    <row r="554" s="43" customFormat="1" x14ac:dyDescent="0.2"/>
    <row r="555" s="43" customFormat="1" x14ac:dyDescent="0.2"/>
    <row r="556" s="43" customFormat="1" x14ac:dyDescent="0.2"/>
    <row r="557" s="43" customFormat="1" x14ac:dyDescent="0.2"/>
    <row r="558" s="43" customFormat="1" x14ac:dyDescent="0.2"/>
    <row r="559" s="43" customFormat="1" x14ac:dyDescent="0.2"/>
    <row r="560" s="43" customFormat="1" x14ac:dyDescent="0.2"/>
    <row r="561" s="43" customFormat="1" x14ac:dyDescent="0.2"/>
    <row r="562" s="43" customFormat="1" x14ac:dyDescent="0.2"/>
    <row r="563" s="43" customFormat="1" x14ac:dyDescent="0.2"/>
    <row r="564" s="43" customFormat="1" x14ac:dyDescent="0.2"/>
    <row r="565" s="43" customFormat="1" x14ac:dyDescent="0.2"/>
    <row r="566" s="43" customFormat="1" x14ac:dyDescent="0.2"/>
    <row r="567" s="43" customFormat="1" x14ac:dyDescent="0.2"/>
    <row r="568" s="43" customFormat="1" x14ac:dyDescent="0.2"/>
    <row r="569" s="43" customFormat="1" x14ac:dyDescent="0.2"/>
    <row r="570" s="43" customFormat="1" x14ac:dyDescent="0.2"/>
    <row r="571" s="43" customFormat="1" x14ac:dyDescent="0.2"/>
    <row r="572" s="43" customFormat="1" x14ac:dyDescent="0.2"/>
    <row r="573" s="43" customFormat="1" x14ac:dyDescent="0.2"/>
    <row r="574" s="43" customFormat="1" x14ac:dyDescent="0.2"/>
    <row r="575" s="43" customFormat="1" x14ac:dyDescent="0.2"/>
    <row r="576" s="43" customFormat="1" x14ac:dyDescent="0.2"/>
    <row r="577" s="43" customFormat="1" x14ac:dyDescent="0.2"/>
    <row r="578" s="43" customFormat="1" x14ac:dyDescent="0.2"/>
    <row r="579" s="43" customFormat="1" x14ac:dyDescent="0.2"/>
    <row r="580" s="43" customFormat="1" x14ac:dyDescent="0.2"/>
    <row r="581" s="43" customFormat="1" x14ac:dyDescent="0.2"/>
    <row r="582" s="43" customFormat="1" x14ac:dyDescent="0.2"/>
    <row r="583" s="43" customFormat="1" x14ac:dyDescent="0.2"/>
    <row r="584" s="43" customFormat="1" x14ac:dyDescent="0.2"/>
    <row r="585" s="43" customFormat="1" x14ac:dyDescent="0.2"/>
    <row r="586" s="43" customFormat="1" x14ac:dyDescent="0.2"/>
    <row r="587" s="43" customFormat="1" x14ac:dyDescent="0.2"/>
    <row r="588" s="43" customFormat="1" x14ac:dyDescent="0.2"/>
    <row r="589" s="43" customFormat="1" x14ac:dyDescent="0.2"/>
    <row r="590" s="43" customFormat="1" x14ac:dyDescent="0.2"/>
    <row r="591" s="43" customFormat="1" x14ac:dyDescent="0.2"/>
    <row r="592" s="43" customFormat="1" x14ac:dyDescent="0.2"/>
    <row r="593" s="43" customFormat="1" x14ac:dyDescent="0.2"/>
    <row r="594" s="43" customFormat="1" x14ac:dyDescent="0.2"/>
    <row r="595" s="43" customFormat="1" x14ac:dyDescent="0.2"/>
    <row r="596" s="43" customFormat="1" x14ac:dyDescent="0.2"/>
    <row r="597" s="43" customFormat="1" x14ac:dyDescent="0.2"/>
    <row r="598" s="43" customFormat="1" x14ac:dyDescent="0.2"/>
    <row r="599" s="43" customFormat="1" x14ac:dyDescent="0.2"/>
    <row r="600" s="43" customFormat="1" x14ac:dyDescent="0.2"/>
    <row r="601" s="43" customFormat="1" x14ac:dyDescent="0.2"/>
    <row r="602" s="43" customFormat="1" x14ac:dyDescent="0.2"/>
    <row r="603" s="43" customFormat="1" x14ac:dyDescent="0.2"/>
    <row r="604" s="43" customFormat="1" x14ac:dyDescent="0.2"/>
    <row r="605" s="43" customFormat="1" x14ac:dyDescent="0.2"/>
    <row r="606" s="43" customFormat="1" x14ac:dyDescent="0.2"/>
    <row r="607" s="43" customFormat="1" x14ac:dyDescent="0.2"/>
    <row r="608" s="43" customFormat="1" x14ac:dyDescent="0.2"/>
    <row r="609" s="43" customFormat="1" x14ac:dyDescent="0.2"/>
    <row r="610" s="43" customFormat="1" x14ac:dyDescent="0.2"/>
    <row r="611" s="43" customFormat="1" x14ac:dyDescent="0.2"/>
    <row r="612" s="43" customFormat="1" x14ac:dyDescent="0.2"/>
    <row r="613" s="43" customFormat="1" x14ac:dyDescent="0.2"/>
    <row r="614" s="43" customFormat="1" x14ac:dyDescent="0.2"/>
    <row r="615" s="43" customFormat="1" x14ac:dyDescent="0.2"/>
    <row r="616" s="43" customFormat="1" x14ac:dyDescent="0.2"/>
    <row r="617" s="43" customFormat="1" x14ac:dyDescent="0.2"/>
    <row r="618" s="43" customFormat="1" x14ac:dyDescent="0.2"/>
    <row r="619" s="43" customFormat="1" x14ac:dyDescent="0.2"/>
    <row r="620" s="43" customFormat="1" x14ac:dyDescent="0.2"/>
    <row r="621" s="43" customFormat="1" x14ac:dyDescent="0.2"/>
    <row r="622" s="43" customFormat="1" x14ac:dyDescent="0.2"/>
    <row r="623" s="43" customFormat="1" x14ac:dyDescent="0.2"/>
    <row r="624" s="43" customFormat="1" x14ac:dyDescent="0.2"/>
    <row r="625" s="43" customFormat="1" x14ac:dyDescent="0.2"/>
    <row r="626" s="43" customFormat="1" x14ac:dyDescent="0.2"/>
    <row r="627" s="43" customFormat="1" x14ac:dyDescent="0.2"/>
    <row r="628" s="43" customFormat="1" x14ac:dyDescent="0.2"/>
    <row r="629" s="43" customFormat="1" x14ac:dyDescent="0.2"/>
    <row r="630" s="43" customFormat="1" x14ac:dyDescent="0.2"/>
    <row r="631" s="43" customFormat="1" x14ac:dyDescent="0.2"/>
    <row r="632" s="43" customFormat="1" x14ac:dyDescent="0.2"/>
    <row r="633" s="43" customFormat="1" x14ac:dyDescent="0.2"/>
    <row r="634" s="43" customFormat="1" x14ac:dyDescent="0.2"/>
    <row r="635" s="43" customFormat="1" x14ac:dyDescent="0.2"/>
    <row r="636" s="43" customFormat="1" x14ac:dyDescent="0.2"/>
    <row r="637" s="43" customFormat="1" x14ac:dyDescent="0.2"/>
    <row r="638" s="43" customFormat="1" x14ac:dyDescent="0.2"/>
    <row r="639" s="43" customFormat="1" x14ac:dyDescent="0.2"/>
    <row r="640" s="43" customFormat="1" x14ac:dyDescent="0.2"/>
    <row r="641" s="43" customFormat="1" x14ac:dyDescent="0.2"/>
    <row r="642" s="43" customFormat="1" x14ac:dyDescent="0.2"/>
    <row r="643" s="43" customFormat="1" x14ac:dyDescent="0.2"/>
  </sheetData>
  <mergeCells count="29">
    <mergeCell ref="T3:T6"/>
    <mergeCell ref="U3:U6"/>
    <mergeCell ref="V3:V6"/>
    <mergeCell ref="D2:P2"/>
    <mergeCell ref="A3:A6"/>
    <mergeCell ref="B3:B6"/>
    <mergeCell ref="C3:C6"/>
    <mergeCell ref="R3:R6"/>
    <mergeCell ref="S3:S6"/>
    <mergeCell ref="H3:Q3"/>
    <mergeCell ref="H4:Q4"/>
    <mergeCell ref="H5:H6"/>
    <mergeCell ref="I5:I6"/>
    <mergeCell ref="J5:J6"/>
    <mergeCell ref="K5:K6"/>
    <mergeCell ref="L5:L6"/>
    <mergeCell ref="M5:M6"/>
    <mergeCell ref="N5:N6"/>
    <mergeCell ref="O5:O6"/>
    <mergeCell ref="P5:P6"/>
    <mergeCell ref="Q5:Q6"/>
    <mergeCell ref="B2:C2"/>
    <mergeCell ref="D3:G3"/>
    <mergeCell ref="D4:E4"/>
    <mergeCell ref="D5:D6"/>
    <mergeCell ref="E5:E6"/>
    <mergeCell ref="F4:G4"/>
    <mergeCell ref="F5:F6"/>
    <mergeCell ref="G5:G6"/>
  </mergeCells>
  <phoneticPr fontId="1" type="noConversion"/>
  <pageMargins left="0" right="0" top="0" bottom="0" header="0.51181102362204722" footer="0"/>
  <pageSetup paperSize="9" scale="74" orientation="landscape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5" r:id="rId3" name="Button 31">
              <controlPr defaultSize="0" print="0" autoFill="0" autoPict="0" macro="[0]!Sheet3.Button31_OnClick">
                <anchor moveWithCells="1" sizeWithCells="1">
                  <from>
                    <xdr:col>0</xdr:col>
                    <xdr:colOff>95250</xdr:colOff>
                    <xdr:row>1</xdr:row>
                    <xdr:rowOff>76200</xdr:rowOff>
                  </from>
                  <to>
                    <xdr:col>0</xdr:col>
                    <xdr:colOff>1028700</xdr:colOff>
                    <xdr:row>1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6"/>
  <sheetViews>
    <sheetView workbookViewId="0">
      <pane xSplit="3" ySplit="2" topLeftCell="K3" activePane="bottomRight" state="frozen"/>
      <selection pane="topRight" activeCell="D1" sqref="D1"/>
      <selection pane="bottomLeft" activeCell="A2" sqref="A2"/>
      <selection pane="bottomRight" activeCell="Q10" sqref="Q10"/>
    </sheetView>
  </sheetViews>
  <sheetFormatPr defaultRowHeight="12.75" x14ac:dyDescent="0.2"/>
  <cols>
    <col min="2" max="2" width="10.85546875" style="1" customWidth="1"/>
    <col min="3" max="6" width="16.28515625" style="1" customWidth="1"/>
    <col min="7" max="7" width="16" style="1" customWidth="1"/>
    <col min="8" max="8" width="17.5703125" style="1" customWidth="1"/>
    <col min="9" max="12" width="16.28515625" style="1" customWidth="1"/>
    <col min="13" max="13" width="18.28515625" style="1" customWidth="1"/>
    <col min="14" max="14" width="35.85546875" style="1" customWidth="1"/>
    <col min="15" max="15" width="13.140625" style="1" customWidth="1"/>
    <col min="16" max="16" width="18" style="1" customWidth="1"/>
    <col min="17" max="17" width="17" style="1" customWidth="1"/>
    <col min="18" max="18" width="15.140625" style="1" customWidth="1"/>
    <col min="19" max="19" width="36" style="1" customWidth="1"/>
    <col min="20" max="20" width="37" style="1" customWidth="1"/>
    <col min="21" max="21" width="38" style="1" customWidth="1"/>
  </cols>
  <sheetData>
    <row r="1" spans="1:21" x14ac:dyDescent="0.2">
      <c r="A1" s="54"/>
      <c r="B1" s="54">
        <v>2</v>
      </c>
      <c r="C1" s="54">
        <v>3</v>
      </c>
      <c r="D1" s="54">
        <v>4</v>
      </c>
      <c r="E1" s="54">
        <v>5</v>
      </c>
      <c r="F1" s="54">
        <v>6</v>
      </c>
      <c r="G1" s="54">
        <v>7</v>
      </c>
      <c r="H1" s="54">
        <v>8</v>
      </c>
      <c r="I1" s="54">
        <v>9</v>
      </c>
      <c r="J1" s="54">
        <v>10</v>
      </c>
      <c r="K1" s="54">
        <v>11</v>
      </c>
      <c r="L1" s="54">
        <v>12</v>
      </c>
      <c r="M1" s="54">
        <v>13</v>
      </c>
      <c r="N1" s="54">
        <v>14</v>
      </c>
      <c r="O1" s="54">
        <v>15</v>
      </c>
      <c r="P1" s="54">
        <v>16</v>
      </c>
      <c r="Q1" s="54">
        <v>17</v>
      </c>
      <c r="R1" s="54">
        <v>18</v>
      </c>
      <c r="S1" s="54">
        <v>19</v>
      </c>
      <c r="T1" s="54">
        <v>20</v>
      </c>
      <c r="U1" s="54">
        <v>21</v>
      </c>
    </row>
    <row r="2" spans="1:21" ht="35.25" customHeight="1" x14ac:dyDescent="0.2">
      <c r="A2" s="55"/>
      <c r="B2" s="48" t="s">
        <v>83</v>
      </c>
      <c r="C2" s="49" t="s">
        <v>84</v>
      </c>
      <c r="D2" s="49" t="s">
        <v>85</v>
      </c>
      <c r="E2" s="50" t="s">
        <v>86</v>
      </c>
      <c r="F2" s="51" t="s">
        <v>87</v>
      </c>
      <c r="G2" s="50" t="s">
        <v>88</v>
      </c>
      <c r="H2" s="50" t="s">
        <v>89</v>
      </c>
      <c r="I2" s="50" t="s">
        <v>90</v>
      </c>
      <c r="J2" s="50" t="s">
        <v>91</v>
      </c>
      <c r="K2" s="50" t="s">
        <v>92</v>
      </c>
      <c r="L2" s="50" t="s">
        <v>93</v>
      </c>
      <c r="M2" s="48" t="s">
        <v>94</v>
      </c>
      <c r="N2" s="52" t="s">
        <v>95</v>
      </c>
      <c r="O2" s="52" t="s">
        <v>96</v>
      </c>
      <c r="P2" s="53" t="s">
        <v>26</v>
      </c>
      <c r="Q2" s="53" t="s">
        <v>27</v>
      </c>
      <c r="R2" s="48" t="s">
        <v>97</v>
      </c>
      <c r="S2" s="48"/>
      <c r="T2" s="48" t="s">
        <v>98</v>
      </c>
      <c r="U2" s="48" t="s">
        <v>99</v>
      </c>
    </row>
    <row r="3" spans="1:21" ht="17.25" customHeight="1" x14ac:dyDescent="0.2">
      <c r="A3" s="55"/>
      <c r="B3" s="56" t="s">
        <v>38</v>
      </c>
      <c r="C3" s="56" t="s">
        <v>39</v>
      </c>
      <c r="D3" s="56">
        <v>60997</v>
      </c>
      <c r="E3" s="58" t="s">
        <v>100</v>
      </c>
      <c r="F3" s="61" t="s">
        <v>101</v>
      </c>
      <c r="G3" s="58" t="s">
        <v>100</v>
      </c>
      <c r="H3" s="61" t="s">
        <v>102</v>
      </c>
      <c r="I3" s="58" t="s">
        <v>100</v>
      </c>
      <c r="J3" s="61" t="s">
        <v>103</v>
      </c>
      <c r="K3" s="58" t="s">
        <v>104</v>
      </c>
      <c r="L3" s="61" t="s">
        <v>105</v>
      </c>
      <c r="M3" s="56" t="s">
        <v>14</v>
      </c>
      <c r="N3" s="56" t="s">
        <v>106</v>
      </c>
      <c r="O3" s="56">
        <v>12.5</v>
      </c>
      <c r="P3" s="56">
        <v>-4.1666666666666661</v>
      </c>
      <c r="Q3" s="56">
        <v>-12.666666666666666</v>
      </c>
      <c r="R3" s="56" t="s">
        <v>107</v>
      </c>
      <c r="S3" s="56">
        <v>89925</v>
      </c>
      <c r="T3" s="56"/>
      <c r="U3" s="56" t="s">
        <v>108</v>
      </c>
    </row>
    <row r="4" spans="1:21" x14ac:dyDescent="0.2">
      <c r="A4" s="55"/>
      <c r="B4" s="56" t="s">
        <v>38</v>
      </c>
      <c r="C4" s="56" t="s">
        <v>40</v>
      </c>
      <c r="D4" s="56">
        <v>60513</v>
      </c>
      <c r="E4" s="58" t="s">
        <v>109</v>
      </c>
      <c r="F4" s="61" t="s">
        <v>110</v>
      </c>
      <c r="G4" s="58" t="s">
        <v>109</v>
      </c>
      <c r="H4" s="61" t="s">
        <v>111</v>
      </c>
      <c r="I4" s="58" t="s">
        <v>112</v>
      </c>
      <c r="J4" s="61" t="s">
        <v>113</v>
      </c>
      <c r="K4" s="58" t="s">
        <v>69</v>
      </c>
      <c r="L4" s="61" t="s">
        <v>69</v>
      </c>
      <c r="M4" s="56" t="s">
        <v>14</v>
      </c>
      <c r="N4" s="56" t="s">
        <v>114</v>
      </c>
      <c r="O4" s="56">
        <v>11</v>
      </c>
      <c r="P4" s="56">
        <v>-0.16666666666666666</v>
      </c>
      <c r="Q4" s="56" t="s">
        <v>107</v>
      </c>
      <c r="R4" s="56">
        <v>89926</v>
      </c>
      <c r="S4" s="56"/>
      <c r="T4" s="56" t="s">
        <v>108</v>
      </c>
      <c r="U4" s="55"/>
    </row>
    <row r="5" spans="1:21" x14ac:dyDescent="0.2">
      <c r="A5" s="55"/>
      <c r="B5" s="57" t="s">
        <v>38</v>
      </c>
      <c r="C5" s="57" t="s">
        <v>40</v>
      </c>
      <c r="D5" s="57">
        <v>60513</v>
      </c>
      <c r="E5" s="59" t="s">
        <v>69</v>
      </c>
      <c r="F5" s="62" t="s">
        <v>69</v>
      </c>
      <c r="G5" s="59" t="s">
        <v>112</v>
      </c>
      <c r="H5" s="62" t="s">
        <v>115</v>
      </c>
      <c r="I5" s="59" t="s">
        <v>116</v>
      </c>
      <c r="J5" s="62" t="s">
        <v>113</v>
      </c>
      <c r="K5" s="59" t="s">
        <v>100</v>
      </c>
      <c r="L5" s="62" t="s">
        <v>117</v>
      </c>
      <c r="M5" s="57" t="s">
        <v>14</v>
      </c>
      <c r="N5" s="57" t="s">
        <v>118</v>
      </c>
      <c r="O5" s="57">
        <v>25</v>
      </c>
      <c r="P5" s="57">
        <v>-8</v>
      </c>
      <c r="Q5" s="57" t="s">
        <v>119</v>
      </c>
      <c r="R5" s="57">
        <v>89926</v>
      </c>
      <c r="S5" s="57"/>
      <c r="T5" s="57" t="s">
        <v>108</v>
      </c>
      <c r="U5" s="55"/>
    </row>
    <row r="6" spans="1:21" x14ac:dyDescent="0.2">
      <c r="A6" s="55"/>
      <c r="B6" s="55"/>
      <c r="C6" s="55"/>
      <c r="D6" s="55"/>
      <c r="E6" s="60"/>
      <c r="F6" s="63"/>
      <c r="G6" s="60"/>
      <c r="H6" s="63"/>
      <c r="I6" s="60"/>
      <c r="J6" s="63"/>
      <c r="K6" s="60"/>
      <c r="L6" s="63"/>
      <c r="M6" s="55"/>
      <c r="N6" s="55"/>
      <c r="O6" s="55"/>
      <c r="P6" s="55"/>
      <c r="Q6" s="55"/>
      <c r="R6" s="55"/>
      <c r="S6" s="55"/>
      <c r="T6" s="55"/>
      <c r="U6" s="55"/>
    </row>
  </sheetData>
  <autoFilter ref="B2:U2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64"/>
  <sheetViews>
    <sheetView zoomScaleNormal="100" workbookViewId="0">
      <selection activeCell="L30" sqref="L30"/>
    </sheetView>
  </sheetViews>
  <sheetFormatPr defaultRowHeight="12.75" x14ac:dyDescent="0.2"/>
  <cols>
    <col min="1" max="1" width="9.5703125" style="1" customWidth="1"/>
    <col min="2" max="2" width="11" style="1" customWidth="1"/>
    <col min="3" max="3" width="11.42578125" style="1" customWidth="1"/>
    <col min="4" max="4" width="11.85546875" style="1" customWidth="1"/>
    <col min="7" max="7" width="13.42578125" style="1" customWidth="1"/>
    <col min="8" max="8" width="0.140625" style="1" customWidth="1"/>
    <col min="9" max="9" width="25.7109375" style="1" customWidth="1"/>
  </cols>
  <sheetData>
    <row r="1" spans="1:9" x14ac:dyDescent="0.2">
      <c r="A1" s="69" t="s">
        <v>70</v>
      </c>
      <c r="B1" s="70"/>
      <c r="C1" s="70"/>
      <c r="D1" s="70"/>
      <c r="E1" s="70"/>
      <c r="F1" s="70"/>
      <c r="G1" s="70"/>
      <c r="H1" s="70"/>
      <c r="I1" s="71"/>
    </row>
    <row r="2" spans="1:9" x14ac:dyDescent="0.2">
      <c r="A2" s="72"/>
      <c r="B2" s="73"/>
      <c r="C2" s="73"/>
      <c r="D2" s="73"/>
      <c r="E2" s="73"/>
      <c r="F2" s="73"/>
      <c r="G2" s="73"/>
      <c r="H2" s="73"/>
      <c r="I2" s="74"/>
    </row>
    <row r="3" spans="1:9" ht="27" customHeight="1" x14ac:dyDescent="0.2">
      <c r="A3" s="22" t="s">
        <v>71</v>
      </c>
      <c r="B3" s="35" t="s">
        <v>72</v>
      </c>
      <c r="C3" s="21" t="s">
        <v>73</v>
      </c>
      <c r="D3" s="21" t="s">
        <v>74</v>
      </c>
      <c r="E3" s="14" t="s">
        <v>75</v>
      </c>
      <c r="F3" s="14" t="s">
        <v>76</v>
      </c>
      <c r="G3" s="14" t="s">
        <v>77</v>
      </c>
      <c r="H3" s="11"/>
      <c r="I3" s="23"/>
    </row>
    <row r="4" spans="1:9" x14ac:dyDescent="0.2">
      <c r="A4" s="2">
        <v>201</v>
      </c>
      <c r="B4" s="31">
        <v>26962.400000000001</v>
      </c>
      <c r="C4" s="31">
        <f>B4+4</f>
        <v>26966.400000000001</v>
      </c>
      <c r="D4" s="31">
        <v>27433.1</v>
      </c>
      <c r="E4" s="11" t="e">
        <f>КТГ!#REF!</f>
        <v>#REF!</v>
      </c>
      <c r="F4" s="11">
        <v>1692</v>
      </c>
      <c r="G4" s="16" t="e">
        <f>E4*F4</f>
        <v>#REF!</v>
      </c>
      <c r="H4" s="11"/>
      <c r="I4" s="23"/>
    </row>
    <row r="5" spans="1:9" x14ac:dyDescent="0.2">
      <c r="A5" s="3">
        <v>202</v>
      </c>
      <c r="B5" s="31">
        <v>25371.1</v>
      </c>
      <c r="C5" s="31">
        <f>B5+4</f>
        <v>25375.1</v>
      </c>
      <c r="D5" s="31">
        <v>25840.400000000001</v>
      </c>
      <c r="E5" s="11" t="e">
        <f>КТГ!#REF!</f>
        <v>#REF!</v>
      </c>
      <c r="F5" s="11">
        <v>1692</v>
      </c>
      <c r="G5" s="16" t="e">
        <f t="shared" ref="G5:G54" si="0">E5*F5</f>
        <v>#REF!</v>
      </c>
      <c r="H5" s="11"/>
      <c r="I5" s="23"/>
    </row>
    <row r="6" spans="1:9" x14ac:dyDescent="0.2">
      <c r="A6" s="3">
        <v>203</v>
      </c>
      <c r="B6" s="31">
        <v>25099.3</v>
      </c>
      <c r="C6" s="31">
        <f>B6</f>
        <v>25099.3</v>
      </c>
      <c r="D6" s="31">
        <v>25099.3</v>
      </c>
      <c r="E6" s="11" t="e">
        <f>КТГ!#REF!</f>
        <v>#REF!</v>
      </c>
      <c r="F6" s="11">
        <v>1692</v>
      </c>
      <c r="G6" s="16" t="e">
        <f t="shared" si="0"/>
        <v>#REF!</v>
      </c>
      <c r="H6" s="11"/>
      <c r="I6" s="23"/>
    </row>
    <row r="7" spans="1:9" x14ac:dyDescent="0.2">
      <c r="A7" s="3">
        <v>204</v>
      </c>
      <c r="B7" s="31">
        <v>28170</v>
      </c>
      <c r="C7" s="31">
        <f t="shared" ref="C7:C51" si="1">B7+4</f>
        <v>28174</v>
      </c>
      <c r="D7" s="31">
        <v>28458.7</v>
      </c>
      <c r="E7" s="11" t="e">
        <f>КТГ!#REF!</f>
        <v>#REF!</v>
      </c>
      <c r="F7" s="11">
        <v>1692</v>
      </c>
      <c r="G7" s="16" t="e">
        <f t="shared" si="0"/>
        <v>#REF!</v>
      </c>
      <c r="H7" s="11"/>
      <c r="I7" s="23"/>
    </row>
    <row r="8" spans="1:9" x14ac:dyDescent="0.2">
      <c r="A8" s="3">
        <v>205</v>
      </c>
      <c r="B8" s="31">
        <v>30113.9</v>
      </c>
      <c r="C8" s="31">
        <f t="shared" si="1"/>
        <v>30117.9</v>
      </c>
      <c r="D8" s="31">
        <v>30462</v>
      </c>
      <c r="E8" s="11" t="e">
        <f>КТГ!#REF!</f>
        <v>#REF!</v>
      </c>
      <c r="F8" s="11">
        <v>1692</v>
      </c>
      <c r="G8" s="16" t="e">
        <f t="shared" si="0"/>
        <v>#REF!</v>
      </c>
      <c r="H8" s="11"/>
      <c r="I8" s="23"/>
    </row>
    <row r="9" spans="1:9" x14ac:dyDescent="0.2">
      <c r="A9" s="3">
        <v>206</v>
      </c>
      <c r="B9" s="31">
        <v>32393.9</v>
      </c>
      <c r="C9" s="31">
        <f t="shared" si="1"/>
        <v>32397.9</v>
      </c>
      <c r="D9" s="31">
        <v>32780.1</v>
      </c>
      <c r="E9" s="11" t="e">
        <f>КТГ!#REF!</f>
        <v>#REF!</v>
      </c>
      <c r="F9" s="11">
        <v>1692</v>
      </c>
      <c r="G9" s="16" t="e">
        <f t="shared" si="0"/>
        <v>#REF!</v>
      </c>
      <c r="H9" s="11"/>
      <c r="I9" s="23"/>
    </row>
    <row r="10" spans="1:9" x14ac:dyDescent="0.2">
      <c r="A10" s="3">
        <v>207</v>
      </c>
      <c r="B10" s="31">
        <v>30434.1</v>
      </c>
      <c r="C10" s="31">
        <f t="shared" si="1"/>
        <v>30438.1</v>
      </c>
      <c r="D10" s="31">
        <v>30880.9</v>
      </c>
      <c r="E10" s="11" t="e">
        <f>КТГ!#REF!</f>
        <v>#REF!</v>
      </c>
      <c r="F10" s="11">
        <v>1692</v>
      </c>
      <c r="G10" s="16" t="e">
        <f t="shared" si="0"/>
        <v>#REF!</v>
      </c>
      <c r="H10" s="11"/>
      <c r="I10" s="23"/>
    </row>
    <row r="11" spans="1:9" x14ac:dyDescent="0.2">
      <c r="A11" s="3">
        <v>208</v>
      </c>
      <c r="B11" s="31">
        <v>28569</v>
      </c>
      <c r="C11" s="31">
        <f t="shared" si="1"/>
        <v>28573</v>
      </c>
      <c r="D11" s="31">
        <v>28879.7</v>
      </c>
      <c r="E11" s="11" t="e">
        <f>КТГ!#REF!</f>
        <v>#REF!</v>
      </c>
      <c r="F11" s="11">
        <v>1692</v>
      </c>
      <c r="G11" s="16" t="e">
        <f t="shared" si="0"/>
        <v>#REF!</v>
      </c>
      <c r="H11" s="11"/>
      <c r="I11" s="23"/>
    </row>
    <row r="12" spans="1:9" x14ac:dyDescent="0.2">
      <c r="A12" s="3">
        <v>209</v>
      </c>
      <c r="B12" s="31">
        <v>32382.2</v>
      </c>
      <c r="C12" s="31">
        <f t="shared" si="1"/>
        <v>32386.2</v>
      </c>
      <c r="D12" s="31">
        <v>32568</v>
      </c>
      <c r="E12" s="11" t="e">
        <f>КТГ!#REF!</f>
        <v>#REF!</v>
      </c>
      <c r="F12" s="11">
        <v>1692</v>
      </c>
      <c r="G12" s="16" t="e">
        <f t="shared" si="0"/>
        <v>#REF!</v>
      </c>
      <c r="H12" s="11"/>
      <c r="I12" s="23"/>
    </row>
    <row r="13" spans="1:9" x14ac:dyDescent="0.2">
      <c r="A13" s="3">
        <v>210</v>
      </c>
      <c r="B13" s="31">
        <v>29051.3</v>
      </c>
      <c r="C13" s="31">
        <f>B13</f>
        <v>29051.3</v>
      </c>
      <c r="D13" s="31">
        <v>29051.3</v>
      </c>
      <c r="E13" s="11" t="e">
        <f>КТГ!#REF!</f>
        <v>#REF!</v>
      </c>
      <c r="F13" s="11">
        <v>1692</v>
      </c>
      <c r="G13" s="16" t="e">
        <f t="shared" si="0"/>
        <v>#REF!</v>
      </c>
      <c r="H13" s="11"/>
      <c r="I13" s="23"/>
    </row>
    <row r="14" spans="1:9" x14ac:dyDescent="0.2">
      <c r="A14" s="3">
        <v>211</v>
      </c>
      <c r="B14" s="31">
        <v>31012.799999999999</v>
      </c>
      <c r="C14" s="31">
        <f>B14</f>
        <v>31012.799999999999</v>
      </c>
      <c r="D14" s="31">
        <v>31012.799999999999</v>
      </c>
      <c r="E14" s="11" t="e">
        <f>КТГ!#REF!</f>
        <v>#REF!</v>
      </c>
      <c r="F14" s="11">
        <v>1692</v>
      </c>
      <c r="G14" s="16" t="e">
        <f t="shared" si="0"/>
        <v>#REF!</v>
      </c>
      <c r="H14" s="11"/>
      <c r="I14" s="23"/>
    </row>
    <row r="15" spans="1:9" x14ac:dyDescent="0.2">
      <c r="A15" s="3">
        <v>212</v>
      </c>
      <c r="B15" s="31">
        <v>34797.1</v>
      </c>
      <c r="C15" s="31">
        <f t="shared" si="1"/>
        <v>34801.1</v>
      </c>
      <c r="D15" s="31">
        <v>35241.199999999997</v>
      </c>
      <c r="E15" s="11" t="e">
        <f>КТГ!#REF!</f>
        <v>#REF!</v>
      </c>
      <c r="F15" s="11">
        <v>1692</v>
      </c>
      <c r="G15" s="16" t="e">
        <f t="shared" si="0"/>
        <v>#REF!</v>
      </c>
      <c r="H15" s="11"/>
      <c r="I15" s="23"/>
    </row>
    <row r="16" spans="1:9" x14ac:dyDescent="0.2">
      <c r="A16" s="3">
        <v>213</v>
      </c>
      <c r="B16" s="31">
        <v>22819</v>
      </c>
      <c r="C16" s="31">
        <f t="shared" si="1"/>
        <v>22823</v>
      </c>
      <c r="D16" s="31">
        <v>23275.200000000001</v>
      </c>
      <c r="E16" s="11" t="e">
        <f>КТГ!#REF!</f>
        <v>#REF!</v>
      </c>
      <c r="F16" s="11">
        <v>1692</v>
      </c>
      <c r="G16" s="16" t="e">
        <f t="shared" si="0"/>
        <v>#REF!</v>
      </c>
      <c r="H16" s="11"/>
      <c r="I16" s="23"/>
    </row>
    <row r="17" spans="1:9" x14ac:dyDescent="0.2">
      <c r="A17" s="3">
        <v>214</v>
      </c>
      <c r="B17" s="31">
        <v>20407.2</v>
      </c>
      <c r="C17" s="31">
        <f t="shared" si="1"/>
        <v>20411.2</v>
      </c>
      <c r="D17" s="31">
        <v>20879.900000000001</v>
      </c>
      <c r="E17" s="11" t="e">
        <f>КТГ!#REF!</f>
        <v>#REF!</v>
      </c>
      <c r="F17" s="11">
        <v>1690.5</v>
      </c>
      <c r="G17" s="16" t="e">
        <f t="shared" si="0"/>
        <v>#REF!</v>
      </c>
      <c r="H17" s="11"/>
      <c r="I17" s="23"/>
    </row>
    <row r="18" spans="1:9" x14ac:dyDescent="0.2">
      <c r="A18" s="3">
        <v>215</v>
      </c>
      <c r="B18" s="31">
        <v>21692.6</v>
      </c>
      <c r="C18" s="31">
        <f t="shared" si="1"/>
        <v>21696.6</v>
      </c>
      <c r="D18" s="31">
        <v>22074.5</v>
      </c>
      <c r="E18" s="11" t="e">
        <f>КТГ!#REF!</f>
        <v>#REF!</v>
      </c>
      <c r="F18" s="11">
        <v>1690.5</v>
      </c>
      <c r="G18" s="16" t="e">
        <f t="shared" si="0"/>
        <v>#REF!</v>
      </c>
      <c r="H18" s="11"/>
      <c r="I18" s="23"/>
    </row>
    <row r="19" spans="1:9" x14ac:dyDescent="0.2">
      <c r="A19" s="3">
        <v>216</v>
      </c>
      <c r="B19" s="31">
        <v>23042.5</v>
      </c>
      <c r="C19" s="31">
        <f t="shared" si="1"/>
        <v>23046.5</v>
      </c>
      <c r="D19" s="31">
        <v>23373</v>
      </c>
      <c r="E19" s="11" t="e">
        <f>КТГ!#REF!</f>
        <v>#REF!</v>
      </c>
      <c r="F19" s="11">
        <v>1690.5</v>
      </c>
      <c r="G19" s="16" t="e">
        <f t="shared" si="0"/>
        <v>#REF!</v>
      </c>
      <c r="H19" s="11"/>
      <c r="I19" s="23"/>
    </row>
    <row r="20" spans="1:9" x14ac:dyDescent="0.2">
      <c r="A20" s="3">
        <v>217</v>
      </c>
      <c r="B20" s="31">
        <v>23350.799999999999</v>
      </c>
      <c r="C20" s="31">
        <f t="shared" si="1"/>
        <v>23354.799999999999</v>
      </c>
      <c r="D20" s="31">
        <v>23776.2</v>
      </c>
      <c r="E20" s="11" t="e">
        <f>КТГ!#REF!</f>
        <v>#REF!</v>
      </c>
      <c r="F20" s="11">
        <v>1690.5</v>
      </c>
      <c r="G20" s="16" t="e">
        <f t="shared" si="0"/>
        <v>#REF!</v>
      </c>
      <c r="H20" s="11"/>
      <c r="I20" s="23"/>
    </row>
    <row r="21" spans="1:9" x14ac:dyDescent="0.2">
      <c r="A21" s="3">
        <v>218</v>
      </c>
      <c r="B21" s="31">
        <v>22961.599999999999</v>
      </c>
      <c r="C21" s="31">
        <f t="shared" si="1"/>
        <v>22965.599999999999</v>
      </c>
      <c r="D21" s="31">
        <v>23424</v>
      </c>
      <c r="E21" s="11" t="e">
        <f>КТГ!#REF!</f>
        <v>#REF!</v>
      </c>
      <c r="F21" s="11">
        <v>1690.5</v>
      </c>
      <c r="G21" s="16" t="e">
        <f t="shared" si="0"/>
        <v>#REF!</v>
      </c>
      <c r="H21" s="11"/>
      <c r="I21" s="23"/>
    </row>
    <row r="22" spans="1:9" x14ac:dyDescent="0.2">
      <c r="A22" s="3">
        <v>219</v>
      </c>
      <c r="B22" s="31">
        <v>22020.1</v>
      </c>
      <c r="C22" s="31">
        <f t="shared" si="1"/>
        <v>22024.1</v>
      </c>
      <c r="D22" s="31">
        <v>22399.9</v>
      </c>
      <c r="E22" s="11" t="e">
        <f>КТГ!#REF!</f>
        <v>#REF!</v>
      </c>
      <c r="F22" s="11">
        <v>1690.5</v>
      </c>
      <c r="G22" s="16" t="e">
        <f t="shared" si="0"/>
        <v>#REF!</v>
      </c>
      <c r="H22" s="11"/>
      <c r="I22" s="23"/>
    </row>
    <row r="23" spans="1:9" x14ac:dyDescent="0.2">
      <c r="A23" s="3">
        <v>220</v>
      </c>
      <c r="B23" s="31">
        <v>20451.5</v>
      </c>
      <c r="C23" s="31">
        <f t="shared" si="1"/>
        <v>20455.5</v>
      </c>
      <c r="D23" s="31">
        <v>20904.5</v>
      </c>
      <c r="E23" s="11" t="e">
        <f>КТГ!#REF!</f>
        <v>#REF!</v>
      </c>
      <c r="F23" s="11">
        <v>1690.5</v>
      </c>
      <c r="G23" s="16" t="e">
        <f t="shared" si="0"/>
        <v>#REF!</v>
      </c>
      <c r="H23" s="11"/>
      <c r="I23" s="23"/>
    </row>
    <row r="24" spans="1:9" x14ac:dyDescent="0.2">
      <c r="A24" s="3">
        <v>221</v>
      </c>
      <c r="B24" s="31">
        <v>46702.6</v>
      </c>
      <c r="C24" s="31">
        <f t="shared" si="1"/>
        <v>46706.6</v>
      </c>
      <c r="D24" s="31">
        <v>47115.6</v>
      </c>
      <c r="E24" s="11" t="e">
        <f>КТГ!#REF!</f>
        <v>#REF!</v>
      </c>
      <c r="F24" s="11">
        <v>1692</v>
      </c>
      <c r="G24" s="16" t="e">
        <f t="shared" si="0"/>
        <v>#REF!</v>
      </c>
      <c r="H24" s="11"/>
      <c r="I24" s="23"/>
    </row>
    <row r="25" spans="1:9" x14ac:dyDescent="0.2">
      <c r="A25" s="3">
        <v>222</v>
      </c>
      <c r="B25" s="31">
        <v>38283.5</v>
      </c>
      <c r="C25" s="31">
        <f>B25</f>
        <v>38283.5</v>
      </c>
      <c r="D25" s="31">
        <v>38283.5</v>
      </c>
      <c r="E25" s="11" t="e">
        <f>КТГ!#REF!</f>
        <v>#REF!</v>
      </c>
      <c r="F25" s="11">
        <v>1692</v>
      </c>
      <c r="G25" s="16" t="e">
        <f t="shared" si="0"/>
        <v>#REF!</v>
      </c>
      <c r="H25" s="11"/>
      <c r="I25" s="23"/>
    </row>
    <row r="26" spans="1:9" x14ac:dyDescent="0.2">
      <c r="A26" s="3">
        <v>223</v>
      </c>
      <c r="B26" s="31">
        <v>33450</v>
      </c>
      <c r="C26" s="31">
        <f t="shared" si="1"/>
        <v>33454</v>
      </c>
      <c r="D26" s="31">
        <v>33898.5</v>
      </c>
      <c r="E26" s="11" t="e">
        <f>КТГ!#REF!</f>
        <v>#REF!</v>
      </c>
      <c r="F26" s="11">
        <v>1692</v>
      </c>
      <c r="G26" s="16" t="e">
        <f t="shared" si="0"/>
        <v>#REF!</v>
      </c>
      <c r="H26" s="11"/>
      <c r="I26" s="23"/>
    </row>
    <row r="27" spans="1:9" x14ac:dyDescent="0.2">
      <c r="A27" s="3">
        <v>224</v>
      </c>
      <c r="B27" s="31">
        <v>32268.6</v>
      </c>
      <c r="C27" s="31">
        <f t="shared" si="1"/>
        <v>32272.6</v>
      </c>
      <c r="D27" s="31">
        <v>32636.7</v>
      </c>
      <c r="E27" s="11" t="e">
        <f>КТГ!#REF!</f>
        <v>#REF!</v>
      </c>
      <c r="F27" s="11">
        <v>1692</v>
      </c>
      <c r="G27" s="16" t="e">
        <f t="shared" si="0"/>
        <v>#REF!</v>
      </c>
      <c r="H27" s="11"/>
      <c r="I27" s="23"/>
    </row>
    <row r="28" spans="1:9" x14ac:dyDescent="0.2">
      <c r="A28" s="3">
        <v>225</v>
      </c>
      <c r="B28" s="31">
        <v>40169.5</v>
      </c>
      <c r="C28" s="31">
        <f t="shared" si="1"/>
        <v>40173.5</v>
      </c>
      <c r="D28" s="31">
        <v>40599</v>
      </c>
      <c r="E28" s="11" t="e">
        <f>КТГ!#REF!</f>
        <v>#REF!</v>
      </c>
      <c r="F28" s="11">
        <v>1692</v>
      </c>
      <c r="G28" s="16" t="e">
        <f t="shared" si="0"/>
        <v>#REF!</v>
      </c>
      <c r="H28" s="11"/>
      <c r="I28" s="23"/>
    </row>
    <row r="29" spans="1:9" x14ac:dyDescent="0.2">
      <c r="A29" s="3">
        <v>226</v>
      </c>
      <c r="B29" s="31">
        <v>45054.8</v>
      </c>
      <c r="C29" s="31">
        <f t="shared" si="1"/>
        <v>45058.8</v>
      </c>
      <c r="D29" s="31">
        <v>45469.5</v>
      </c>
      <c r="E29" s="11" t="e">
        <f>КТГ!#REF!</f>
        <v>#REF!</v>
      </c>
      <c r="F29" s="11">
        <v>1692</v>
      </c>
      <c r="G29" s="16" t="e">
        <f t="shared" si="0"/>
        <v>#REF!</v>
      </c>
      <c r="H29" s="11"/>
      <c r="I29" s="23"/>
    </row>
    <row r="30" spans="1:9" ht="409.6" x14ac:dyDescent="0.25">
      <c r="A30" s="3">
        <v>227</v>
      </c>
      <c r="B30" s="31"/>
      <c r="C30" s="31"/>
      <c r="D30" s="31"/>
      <c r="E30" s="11" t="e">
        <f>КТГ!#REF!</f>
        <v>#REF!</v>
      </c>
      <c r="F30" s="11">
        <v>1692</v>
      </c>
      <c r="G30" s="16" t="e">
        <f t="shared" si="0"/>
        <v>#REF!</v>
      </c>
      <c r="H30" s="11"/>
      <c r="I30" s="23"/>
    </row>
    <row r="31" spans="1:9" ht="409.6" x14ac:dyDescent="0.25">
      <c r="A31" s="3">
        <v>228</v>
      </c>
      <c r="B31" s="31"/>
      <c r="C31" s="31"/>
      <c r="D31" s="31"/>
      <c r="E31" s="11" t="e">
        <f>КТГ!#REF!</f>
        <v>#REF!</v>
      </c>
      <c r="F31" s="11">
        <v>1692</v>
      </c>
      <c r="G31" s="16" t="e">
        <f t="shared" si="0"/>
        <v>#REF!</v>
      </c>
      <c r="H31" s="11"/>
      <c r="I31" s="23"/>
    </row>
    <row r="32" spans="1:9" ht="409.6" x14ac:dyDescent="0.25">
      <c r="A32" s="3">
        <v>229</v>
      </c>
      <c r="B32" s="31"/>
      <c r="C32" s="31"/>
      <c r="D32" s="31"/>
      <c r="E32" s="11" t="e">
        <f>КТГ!#REF!</f>
        <v>#REF!</v>
      </c>
      <c r="F32" s="11">
        <v>1692</v>
      </c>
      <c r="G32" s="16" t="e">
        <f t="shared" si="0"/>
        <v>#REF!</v>
      </c>
      <c r="H32" s="11"/>
      <c r="I32" s="23"/>
    </row>
    <row r="33" spans="1:12" ht="409.6" x14ac:dyDescent="0.25">
      <c r="A33" s="24"/>
      <c r="B33" s="11"/>
      <c r="C33" s="31">
        <v>0</v>
      </c>
      <c r="D33" s="31"/>
      <c r="E33" s="11">
        <f>(D33-C33)</f>
        <v>0</v>
      </c>
      <c r="F33" s="14" t="s">
        <v>78</v>
      </c>
      <c r="G33" s="17" t="e">
        <f>SUM(G4:G32)</f>
        <v>#REF!</v>
      </c>
      <c r="H33" s="11"/>
      <c r="I33" s="23"/>
    </row>
    <row r="34" spans="1:12" ht="409.6" x14ac:dyDescent="0.25">
      <c r="A34" s="12">
        <v>108</v>
      </c>
      <c r="B34" s="32">
        <v>8354</v>
      </c>
      <c r="C34" s="31">
        <f t="shared" si="1"/>
        <v>8358</v>
      </c>
      <c r="D34" s="32">
        <v>8692</v>
      </c>
      <c r="E34" s="36" t="e">
        <f>КТГ!#REF!</f>
        <v>#REF!</v>
      </c>
      <c r="F34" s="11">
        <v>3714</v>
      </c>
      <c r="G34" s="16" t="e">
        <f t="shared" si="0"/>
        <v>#REF!</v>
      </c>
      <c r="H34" s="11"/>
      <c r="I34" s="23"/>
    </row>
    <row r="35" spans="1:12" ht="409.6" x14ac:dyDescent="0.25">
      <c r="A35" s="4">
        <v>109</v>
      </c>
      <c r="B35" s="32">
        <v>2884</v>
      </c>
      <c r="C35" s="31">
        <f t="shared" si="1"/>
        <v>2888</v>
      </c>
      <c r="D35" s="32">
        <v>3205</v>
      </c>
      <c r="E35" s="36" t="e">
        <f>КТГ!#REF!</f>
        <v>#REF!</v>
      </c>
      <c r="F35" s="11">
        <v>3714</v>
      </c>
      <c r="G35" s="16" t="e">
        <f t="shared" si="0"/>
        <v>#REF!</v>
      </c>
      <c r="H35" s="11"/>
      <c r="I35" s="23"/>
    </row>
    <row r="36" spans="1:12" ht="409.6" x14ac:dyDescent="0.25">
      <c r="A36" s="5">
        <v>110</v>
      </c>
      <c r="B36" s="32">
        <v>6824</v>
      </c>
      <c r="C36" s="31">
        <f t="shared" si="1"/>
        <v>6828</v>
      </c>
      <c r="D36" s="32">
        <v>7224</v>
      </c>
      <c r="E36" s="36" t="e">
        <f>КТГ!#REF!</f>
        <v>#REF!</v>
      </c>
      <c r="F36" s="11">
        <v>3505.5</v>
      </c>
      <c r="G36" s="16" t="e">
        <f t="shared" si="0"/>
        <v>#REF!</v>
      </c>
      <c r="H36" s="11"/>
      <c r="I36" s="23"/>
    </row>
    <row r="37" spans="1:12" ht="409.6" x14ac:dyDescent="0.25">
      <c r="A37" s="5"/>
      <c r="B37" s="20"/>
      <c r="C37" s="31">
        <v>0</v>
      </c>
      <c r="D37" s="20"/>
      <c r="E37" s="11">
        <f>(D37-C37)</f>
        <v>0</v>
      </c>
      <c r="F37" s="11">
        <v>3714</v>
      </c>
      <c r="G37" s="16">
        <f t="shared" si="0"/>
        <v>0</v>
      </c>
      <c r="H37" s="11"/>
      <c r="I37" s="23"/>
    </row>
    <row r="38" spans="1:12" ht="13.5" x14ac:dyDescent="0.25">
      <c r="A38" s="24"/>
      <c r="B38" s="11"/>
      <c r="C38" s="31">
        <v>0</v>
      </c>
      <c r="D38" s="11"/>
      <c r="E38" s="11">
        <f>(D38-C38)</f>
        <v>0</v>
      </c>
      <c r="F38" s="14" t="s">
        <v>78</v>
      </c>
      <c r="G38" s="17" t="e">
        <f>SUM(G34:G36)</f>
        <v>#REF!</v>
      </c>
      <c r="H38" s="11"/>
      <c r="I38" s="23"/>
    </row>
    <row r="39" spans="1:12" ht="409.6" x14ac:dyDescent="0.25">
      <c r="A39" s="6">
        <v>301</v>
      </c>
      <c r="B39" s="33">
        <v>29693.8</v>
      </c>
      <c r="C39" s="31">
        <f t="shared" si="1"/>
        <v>29697.8</v>
      </c>
      <c r="D39" s="33">
        <v>29791.9</v>
      </c>
      <c r="E39" s="36" t="e">
        <f>КТГ!#REF!</f>
        <v>#REF!</v>
      </c>
      <c r="F39" s="11">
        <v>991.5</v>
      </c>
      <c r="G39" s="16" t="e">
        <f t="shared" si="0"/>
        <v>#REF!</v>
      </c>
      <c r="H39" s="11"/>
      <c r="I39" s="23"/>
    </row>
    <row r="40" spans="1:12" ht="409.6" x14ac:dyDescent="0.25">
      <c r="A40" s="7">
        <v>302</v>
      </c>
      <c r="B40" s="33">
        <v>29425.8</v>
      </c>
      <c r="C40" s="31">
        <f t="shared" si="1"/>
        <v>29429.8</v>
      </c>
      <c r="D40" s="33">
        <v>29915.9</v>
      </c>
      <c r="E40" s="36" t="e">
        <f>КТГ!#REF!</f>
        <v>#REF!</v>
      </c>
      <c r="F40" s="11">
        <v>991.5</v>
      </c>
      <c r="G40" s="16" t="e">
        <f t="shared" si="0"/>
        <v>#REF!</v>
      </c>
      <c r="H40" s="11"/>
      <c r="I40" s="23"/>
    </row>
    <row r="41" spans="1:12" ht="409.6" x14ac:dyDescent="0.25">
      <c r="A41" s="7">
        <v>303</v>
      </c>
      <c r="B41" s="33">
        <v>27746.7</v>
      </c>
      <c r="C41" s="31">
        <f t="shared" si="1"/>
        <v>27750.7</v>
      </c>
      <c r="D41" s="33">
        <v>28023.5</v>
      </c>
      <c r="E41" s="36" t="e">
        <f>КТГ!#REF!</f>
        <v>#REF!</v>
      </c>
      <c r="F41" s="11">
        <v>991.5</v>
      </c>
      <c r="G41" s="16" t="e">
        <f t="shared" si="0"/>
        <v>#REF!</v>
      </c>
      <c r="H41" s="11"/>
      <c r="I41" s="23"/>
    </row>
    <row r="42" spans="1:12" ht="409.6" x14ac:dyDescent="0.25">
      <c r="A42" s="7">
        <v>307</v>
      </c>
      <c r="B42" s="8"/>
      <c r="C42" s="31">
        <v>0</v>
      </c>
      <c r="D42" s="8"/>
      <c r="E42" s="36" t="e">
        <f>КТГ!#REF!</f>
        <v>#REF!</v>
      </c>
      <c r="F42" s="11">
        <v>991</v>
      </c>
      <c r="G42" s="16" t="e">
        <f t="shared" si="0"/>
        <v>#REF!</v>
      </c>
      <c r="H42" s="11"/>
      <c r="I42" s="23"/>
    </row>
    <row r="43" spans="1:12" ht="409.6" x14ac:dyDescent="0.25">
      <c r="A43" s="24"/>
      <c r="B43" s="11"/>
      <c r="C43" s="31">
        <v>0</v>
      </c>
      <c r="D43" s="11"/>
      <c r="E43" s="11">
        <f>(D43-C43)</f>
        <v>0</v>
      </c>
      <c r="F43" s="14" t="s">
        <v>78</v>
      </c>
      <c r="G43" s="17" t="e">
        <f>SUM(G39:G42)</f>
        <v>#REF!</v>
      </c>
      <c r="H43" s="11"/>
      <c r="I43" s="23"/>
    </row>
    <row r="44" spans="1:12" ht="409.6" x14ac:dyDescent="0.25">
      <c r="A44" s="7">
        <v>401</v>
      </c>
      <c r="B44" s="33">
        <v>31297.5</v>
      </c>
      <c r="C44" s="31">
        <f t="shared" si="1"/>
        <v>31301.5</v>
      </c>
      <c r="D44" s="33">
        <v>31302.2</v>
      </c>
      <c r="E44" s="36" t="e">
        <f>КТГ!#REF!</f>
        <v>#REF!</v>
      </c>
      <c r="F44" s="11">
        <v>799.5</v>
      </c>
      <c r="G44" s="16" t="e">
        <f t="shared" si="0"/>
        <v>#REF!</v>
      </c>
      <c r="H44" s="11"/>
      <c r="I44" s="23"/>
    </row>
    <row r="45" spans="1:12" ht="409.6" x14ac:dyDescent="0.25">
      <c r="A45" s="7">
        <v>402</v>
      </c>
      <c r="B45" s="33">
        <v>29573.200000000001</v>
      </c>
      <c r="C45" s="31">
        <f t="shared" si="1"/>
        <v>29577.200000000001</v>
      </c>
      <c r="D45" s="33">
        <v>29950.400000000001</v>
      </c>
      <c r="E45" s="36" t="e">
        <f>КТГ!#REF!</f>
        <v>#REF!</v>
      </c>
      <c r="F45" s="11">
        <v>799.5</v>
      </c>
      <c r="G45" s="16" t="e">
        <f t="shared" si="0"/>
        <v>#REF!</v>
      </c>
      <c r="H45" s="11"/>
      <c r="I45" s="23"/>
    </row>
    <row r="46" spans="1:12" ht="409.6" x14ac:dyDescent="0.25">
      <c r="A46" s="7">
        <v>404</v>
      </c>
      <c r="B46" s="33">
        <v>16628</v>
      </c>
      <c r="C46" s="31">
        <f t="shared" si="1"/>
        <v>16632</v>
      </c>
      <c r="D46" s="33">
        <v>17012.599999999999</v>
      </c>
      <c r="E46" s="36" t="e">
        <f>КТГ!#REF!</f>
        <v>#REF!</v>
      </c>
      <c r="F46" s="11">
        <v>730.5</v>
      </c>
      <c r="G46" s="16" t="e">
        <f t="shared" si="0"/>
        <v>#REF!</v>
      </c>
      <c r="H46" s="11"/>
      <c r="I46" s="23"/>
    </row>
    <row r="47" spans="1:12" ht="409.6" x14ac:dyDescent="0.25">
      <c r="A47" s="7">
        <v>405</v>
      </c>
      <c r="B47" s="33">
        <v>20627</v>
      </c>
      <c r="C47" s="31">
        <f t="shared" si="1"/>
        <v>20631</v>
      </c>
      <c r="D47" s="33">
        <v>20926.099999999999</v>
      </c>
      <c r="E47" s="36" t="e">
        <f>КТГ!#REF!</f>
        <v>#REF!</v>
      </c>
      <c r="F47" s="11">
        <v>730.5</v>
      </c>
      <c r="G47" s="16" t="e">
        <f t="shared" si="0"/>
        <v>#REF!</v>
      </c>
      <c r="H47" s="11"/>
      <c r="I47" s="23"/>
      <c r="L47" s="18"/>
    </row>
    <row r="48" spans="1:12" ht="409.6" x14ac:dyDescent="0.25">
      <c r="A48" s="24"/>
      <c r="B48" s="11"/>
      <c r="C48" s="31">
        <v>0</v>
      </c>
      <c r="D48" s="11"/>
      <c r="E48" s="11">
        <f>(D48-C48)</f>
        <v>0</v>
      </c>
      <c r="F48" s="14" t="s">
        <v>78</v>
      </c>
      <c r="G48" s="17" t="e">
        <f>SUM(G44:G47)</f>
        <v>#REF!</v>
      </c>
      <c r="H48" s="11"/>
      <c r="I48" s="23"/>
    </row>
    <row r="49" spans="1:11" ht="409.6" x14ac:dyDescent="0.25">
      <c r="A49" s="7">
        <v>111</v>
      </c>
      <c r="B49" s="32">
        <v>0</v>
      </c>
      <c r="C49" s="31">
        <v>0</v>
      </c>
      <c r="D49" s="32">
        <v>0</v>
      </c>
      <c r="E49" s="36" t="e">
        <f>КТГ!#REF!</f>
        <v>#REF!</v>
      </c>
      <c r="F49" s="11">
        <v>1594.5</v>
      </c>
      <c r="G49" s="16" t="e">
        <f t="shared" si="0"/>
        <v>#REF!</v>
      </c>
      <c r="H49" s="11"/>
      <c r="I49" s="23"/>
    </row>
    <row r="50" spans="1:11" ht="409.6" x14ac:dyDescent="0.25">
      <c r="A50" s="7">
        <v>603</v>
      </c>
      <c r="B50" s="13">
        <v>17095</v>
      </c>
      <c r="C50" s="31">
        <f t="shared" si="1"/>
        <v>17099</v>
      </c>
      <c r="D50" s="15">
        <v>17250</v>
      </c>
      <c r="E50" s="36" t="e">
        <f>КТГ!#REF!</f>
        <v>#REF!</v>
      </c>
      <c r="F50" s="11">
        <v>624</v>
      </c>
      <c r="G50" s="16" t="e">
        <f t="shared" si="0"/>
        <v>#REF!</v>
      </c>
      <c r="H50" s="11"/>
      <c r="I50" s="23"/>
    </row>
    <row r="51" spans="1:11" ht="409.6" x14ac:dyDescent="0.25">
      <c r="A51" s="7">
        <v>608</v>
      </c>
      <c r="B51" s="13">
        <v>1945</v>
      </c>
      <c r="C51" s="31">
        <f t="shared" si="1"/>
        <v>1949</v>
      </c>
      <c r="D51" s="34">
        <v>2372.9</v>
      </c>
      <c r="E51" s="36" t="e">
        <f>КТГ!#REF!</f>
        <v>#REF!</v>
      </c>
      <c r="F51" s="11">
        <v>564</v>
      </c>
      <c r="G51" s="16" t="e">
        <f t="shared" si="0"/>
        <v>#REF!</v>
      </c>
      <c r="H51" s="11"/>
      <c r="I51" s="23"/>
    </row>
    <row r="52" spans="1:11" ht="409.6" x14ac:dyDescent="0.25">
      <c r="A52" s="7">
        <v>902</v>
      </c>
      <c r="B52" s="13"/>
      <c r="C52" s="31"/>
      <c r="D52" s="34"/>
      <c r="E52" s="36" t="e">
        <f>КТГ!#REF!</f>
        <v>#REF!</v>
      </c>
      <c r="F52" s="11">
        <v>564</v>
      </c>
      <c r="G52" s="16" t="e">
        <f t="shared" si="0"/>
        <v>#REF!</v>
      </c>
      <c r="H52" s="11"/>
      <c r="I52" s="23"/>
    </row>
    <row r="53" spans="1:11" ht="409.6" x14ac:dyDescent="0.25">
      <c r="A53" s="37"/>
      <c r="B53" s="38"/>
      <c r="C53" s="39"/>
      <c r="D53" s="40"/>
      <c r="E53" s="36"/>
      <c r="F53" s="11" t="s">
        <v>78</v>
      </c>
      <c r="G53" s="17" t="e">
        <f>SUM(G49:G52)</f>
        <v>#REF!</v>
      </c>
      <c r="H53" s="11"/>
      <c r="I53" s="23"/>
    </row>
    <row r="54" spans="1:11" ht="409.6" x14ac:dyDescent="0.25">
      <c r="A54" s="7">
        <v>607</v>
      </c>
      <c r="B54" s="13">
        <v>4450</v>
      </c>
      <c r="C54" s="31"/>
      <c r="D54" s="34"/>
      <c r="E54" s="36" t="e">
        <f>КТГ!#REF!</f>
        <v>#REF!</v>
      </c>
      <c r="F54" s="11">
        <v>1594.5</v>
      </c>
      <c r="G54" s="17" t="e">
        <f t="shared" si="0"/>
        <v>#REF!</v>
      </c>
      <c r="H54" s="11"/>
      <c r="I54" s="23"/>
    </row>
    <row r="55" spans="1:11" ht="409.6" x14ac:dyDescent="0.25">
      <c r="A55" s="7"/>
      <c r="B55" s="13"/>
      <c r="C55" s="31"/>
      <c r="D55" s="34"/>
      <c r="E55" s="36"/>
      <c r="F55" s="11"/>
      <c r="G55" s="16"/>
      <c r="H55" s="11"/>
      <c r="I55" s="23"/>
    </row>
    <row r="56" spans="1:11" ht="409.6" x14ac:dyDescent="0.25">
      <c r="A56" s="7"/>
      <c r="B56" s="13"/>
      <c r="C56" s="31"/>
      <c r="D56" s="34"/>
      <c r="E56" s="36"/>
      <c r="F56" s="11"/>
      <c r="G56" s="16"/>
      <c r="H56" s="11"/>
      <c r="I56" s="23"/>
    </row>
    <row r="57" spans="1:11" ht="409.6" x14ac:dyDescent="0.25">
      <c r="A57" s="24"/>
      <c r="B57" s="11"/>
      <c r="C57" s="11"/>
      <c r="D57" s="11"/>
      <c r="E57" s="11"/>
      <c r="F57" s="14"/>
      <c r="G57" s="17"/>
      <c r="H57" s="11"/>
      <c r="I57" s="23"/>
    </row>
    <row r="58" spans="1:11" ht="409.6" x14ac:dyDescent="0.25">
      <c r="A58" s="24"/>
      <c r="B58" s="11"/>
      <c r="C58" s="11"/>
      <c r="D58" s="11"/>
      <c r="E58" s="11"/>
      <c r="F58" s="14"/>
      <c r="G58" s="16"/>
      <c r="H58" s="11"/>
      <c r="I58" s="23"/>
    </row>
    <row r="59" spans="1:11" ht="409.6" x14ac:dyDescent="0.25">
      <c r="A59" s="24"/>
      <c r="B59" s="11"/>
      <c r="C59" s="11"/>
      <c r="D59" s="11"/>
      <c r="E59" s="11"/>
      <c r="F59" s="11"/>
      <c r="G59" s="16"/>
      <c r="H59" s="11"/>
      <c r="I59" s="23"/>
    </row>
    <row r="60" spans="1:11" ht="13.5" x14ac:dyDescent="0.25">
      <c r="A60" s="25"/>
      <c r="B60" s="26"/>
      <c r="C60" s="26"/>
      <c r="D60" s="26"/>
      <c r="E60" s="27" t="s">
        <v>79</v>
      </c>
      <c r="F60" s="26"/>
      <c r="G60" s="28" t="e">
        <f>G33+G38+G43+G48+G53+G54</f>
        <v>#REF!</v>
      </c>
      <c r="H60" s="26"/>
      <c r="I60" s="29"/>
    </row>
    <row r="61" spans="1:11" ht="409.6" x14ac:dyDescent="0.25">
      <c r="A61" s="30"/>
      <c r="B61" s="30"/>
      <c r="C61" s="30"/>
      <c r="D61" s="30"/>
      <c r="E61" s="30"/>
      <c r="F61" s="30"/>
      <c r="G61" s="30"/>
      <c r="H61" s="30"/>
      <c r="I61" s="30"/>
      <c r="J61" s="30"/>
      <c r="K61" s="30"/>
    </row>
    <row r="62" spans="1:11" ht="409.6" x14ac:dyDescent="0.25">
      <c r="A62" s="73" t="s">
        <v>80</v>
      </c>
      <c r="B62" s="73"/>
      <c r="C62" s="73"/>
      <c r="D62" s="73"/>
      <c r="E62" s="30"/>
      <c r="F62" s="30"/>
      <c r="G62" s="30"/>
      <c r="H62" s="30"/>
    </row>
    <row r="63" spans="1:11" ht="409.6" x14ac:dyDescent="0.25">
      <c r="A63" s="73" t="s">
        <v>81</v>
      </c>
      <c r="B63" s="73"/>
      <c r="C63" s="73"/>
    </row>
    <row r="64" spans="1:11" ht="409.6" x14ac:dyDescent="0.25">
      <c r="A64" s="19" t="s">
        <v>82</v>
      </c>
    </row>
  </sheetData>
  <mergeCells count="4">
    <mergeCell ref="A1:I1"/>
    <mergeCell ref="A2:I2"/>
    <mergeCell ref="A62:D62"/>
    <mergeCell ref="A63:C63"/>
  </mergeCells>
  <pageMargins left="0.7" right="0.7" top="0.75" bottom="0.75" header="0.3" footer="0.3"/>
  <pageSetup paperSize="9" scale="88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2</vt:i4>
      </vt:variant>
    </vt:vector>
  </HeadingPairs>
  <TitlesOfParts>
    <vt:vector size="17" baseType="lpstr">
      <vt:lpstr>КТГ</vt:lpstr>
      <vt:lpstr>КТГ Рассшифровка</vt:lpstr>
      <vt:lpstr>Расчет стоимости</vt:lpstr>
      <vt:lpstr>Sheet3</vt:lpstr>
      <vt:lpstr>Sheet4</vt:lpstr>
      <vt:lpstr>Sheet5</vt:lpstr>
      <vt:lpstr>Лист1</vt:lpstr>
      <vt:lpstr>Лист2</vt:lpstr>
      <vt:lpstr>Лист3</vt:lpstr>
      <vt:lpstr>Лист4</vt:lpstr>
      <vt:lpstr>Лист5</vt:lpstr>
      <vt:lpstr>Лист6</vt:lpstr>
      <vt:lpstr>Лист7</vt:lpstr>
      <vt:lpstr>Лист8</vt:lpstr>
      <vt:lpstr>Лист9</vt:lpstr>
      <vt:lpstr>КТГ!Print_Area</vt:lpstr>
      <vt:lpstr>'Расчет стоимости'!Print_Area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anfakhrutdinov@borusan.com</dc:creator>
  <cp:lastModifiedBy>Windows User</cp:lastModifiedBy>
  <cp:lastPrinted>2013-04-02T05:31:48Z</cp:lastPrinted>
  <dcterms:created xsi:type="dcterms:W3CDTF">1996-10-14T23:33:28Z</dcterms:created>
  <dcterms:modified xsi:type="dcterms:W3CDTF">2018-09-19T10:26:55Z</dcterms:modified>
</cp:coreProperties>
</file>